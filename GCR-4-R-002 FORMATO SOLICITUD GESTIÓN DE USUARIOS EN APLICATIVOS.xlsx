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gurosmundial-my.sharepoint.com/personal/angperilla_segurosmundial_com_co/Documents/Escritorio/Angello/"/>
    </mc:Choice>
  </mc:AlternateContent>
  <xr:revisionPtr revIDLastSave="1" documentId="8_{79A1630F-8161-4C08-BE86-DF6D5085404A}" xr6:coauthVersionLast="47" xr6:coauthVersionMax="47" xr10:uidLastSave="{8AEF3025-7B0E-43A8-8435-BDECF992F818}"/>
  <bookViews>
    <workbookView xWindow="28680" yWindow="-120" windowWidth="29040" windowHeight="15720" tabRatio="732" firstSheet="1" activeTab="1" xr2:uid="{6E19D295-6DEC-4670-BC1B-64B9117044AF}"/>
  </bookViews>
  <sheets>
    <sheet name="Instrucciones" sheetId="10" r:id="rId1"/>
    <sheet name="USUARIOS_EN_APLICATIVOS" sheetId="9" r:id="rId2"/>
    <sheet name="DATOS Y RESPONSABLES ESCALAMIEN" sheetId="8" r:id="rId3"/>
  </sheets>
  <definedNames>
    <definedName name="_xlnm._FilterDatabase" localSheetId="2" hidden="1">'DATOS Y RESPONSABLES ESCALAMIEN'!$B$15:$F$35</definedName>
    <definedName name="APP">'DATOS Y RESPONSABLES ESCALAMIEN'!$B$40:$B$48</definedName>
    <definedName name="_xlnm.Print_Area" localSheetId="1">USUARIOS_EN_APLICATIVOS!$A$1:$O$34</definedName>
    <definedName name="AWS">'DATOS Y RESPONSABLES ESCALAMIEN'!$C$16:$C$26</definedName>
    <definedName name="AZURE">'DATOS Y RESPONSABLES ESCALAMIEN'!$C$27:$C$29</definedName>
    <definedName name="GCP">'DATOS Y RESPONSABLES ESCALAMIEN'!$C$30:$C$32</definedName>
    <definedName name="Microsoft">'DATOS Y RESPONSABLES ESCALAMIEN'!$E$3:$E$4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8" l="1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C27" i="9"/>
  <c r="C26" i="9"/>
  <c r="C25" i="9"/>
  <c r="C24" i="9"/>
  <c r="C23" i="9"/>
  <c r="D62" i="9" l="1"/>
</calcChain>
</file>

<file path=xl/sharedStrings.xml><?xml version="1.0" encoding="utf-8"?>
<sst xmlns="http://schemas.openxmlformats.org/spreadsheetml/2006/main" count="188" uniqueCount="145">
  <si>
    <t xml:space="preserve"> </t>
  </si>
  <si>
    <t>COMPAÑÍA MUNDIAL DE SEGUROS S.A.</t>
  </si>
  <si>
    <t>FORMATO SOLICITUD GESTIÓN DE USUARIOS EN APLICATIVOS</t>
  </si>
  <si>
    <t>GCR-4-R-002</t>
  </si>
  <si>
    <t>A. INFORMACIÓN BÁSICA PARA GESTIÓN USUARIOS EN APLICATIVOS</t>
  </si>
  <si>
    <t>Nombre completo*</t>
  </si>
  <si>
    <t>Documento de identidad*</t>
  </si>
  <si>
    <t>Cargo*</t>
  </si>
  <si>
    <t>Área /  Sucursal / CEN</t>
  </si>
  <si>
    <t>Centro de costos (CECO)*</t>
  </si>
  <si>
    <t>Consecutivo presupuestal*</t>
  </si>
  <si>
    <t>Tipo de movimiento (cargo)</t>
  </si>
  <si>
    <t>Fecha de ingreso ( si es una vinculación)</t>
  </si>
  <si>
    <t>Requiere usuario de red</t>
  </si>
  <si>
    <t>¿El usuario será usado para un BOT?</t>
  </si>
  <si>
    <t>Acciones sobre el usuario*</t>
  </si>
  <si>
    <t>Cargo anterior (si es un traslado)</t>
  </si>
  <si>
    <t>Requiere usuario de correo</t>
  </si>
  <si>
    <t>ACCESOS A APLICATIVOS</t>
  </si>
  <si>
    <t>ACCESO A CONEXIÓN  VPN - CITRIX</t>
  </si>
  <si>
    <t>Aplicación</t>
  </si>
  <si>
    <t>Uso de aplicación</t>
  </si>
  <si>
    <t>Perfil</t>
  </si>
  <si>
    <t>Rol</t>
  </si>
  <si>
    <t>Tipo</t>
  </si>
  <si>
    <t>NOTA:
-Los campos señalados con asterísco * son de diligenciamiento obligatorio.
-Este formato debe ser diligenciado por el Líder directo del área y es responsable de definir los accesos registrados en este formulario de acuerdo con el perfil del cargo.
-Recuerda que para la gestión de usuarios en los aplicativos no se aceptarán que los usuarios o perfiles se usen como usuarios espejo. Los usuarios son de uso personal y no se deben compartir a otros Mundialistas.</t>
  </si>
  <si>
    <t>ACCESO A UNIDADES COMPARTIDAS</t>
  </si>
  <si>
    <t>Ruta</t>
  </si>
  <si>
    <t>Tipo de acceso</t>
  </si>
  <si>
    <t>OBSERVACIONES ADICIONALES</t>
  </si>
  <si>
    <t xml:space="preserve">B. INFORMACIÓN BÁSICA PARA GESTIÓN USUARIOS EN AGILÍSIMO (WEBSOAT) </t>
  </si>
  <si>
    <t>Perfil o nivel solicitado</t>
  </si>
  <si>
    <t>NOTA:
-El responsable hace referencia al nombre del asesor a quien se asigna el usuario.
-Los campos señalados con asterísco * son de diligenciamiento obligatorio.
-Este formato debe ser diligenciado por el Líder directo del área y es responsable de definir los accesos registrados en este formulario son de acuerdo al perfil del cargo
-Recuerda que para la gestión de usuarios en los aplicativos no se aceptarán que los usuarios o perfiles se usen como usuarios espejo. Los usuarios son de uso personal y no se deben compartir a otros Mundialistas.
- Cuando el usuario solicitado es de Seguros Mundial se debe diligenciar "Negocios Directos" en el campo nombre del intermediario.</t>
  </si>
  <si>
    <t>Nombre del responsable*</t>
  </si>
  <si>
    <t>Celular del responsable*</t>
  </si>
  <si>
    <t xml:space="preserve">Tipo de documento* </t>
  </si>
  <si>
    <t>No. de documento del responsable*</t>
  </si>
  <si>
    <t>Correo electrónico del responsable*</t>
  </si>
  <si>
    <t>Nombre del intermediario*</t>
  </si>
  <si>
    <t>Sucursal*</t>
  </si>
  <si>
    <t>Nombre del punto de venta*</t>
  </si>
  <si>
    <t xml:space="preserve">C. INFORMACIÓN BÁSICA PARA GESTIÓN USUARIOS EN NUBE </t>
  </si>
  <si>
    <t>Tipo de requerimiento*</t>
  </si>
  <si>
    <t>Tercero (Nombre del Proveedor si aplica)*</t>
  </si>
  <si>
    <t>NOTA:
-Los campos señalados con asterísco * son de diligenciamiento obligatorio.
-Para las solicitudes de nube se debera adjuntar en el Ticket de aranda el Vb de los responsables de cada Nube/Proyecto aprobando el requerimiento (Matriz de escalamiento).
-Los campos "Centro de costos (CECO)" Y "Consecutivo Presupuestal" son de obligatorio diligenciamiento si la solicitud es para las nubes Azure Devops y/o BitBucket dado que los usuarios de estas nubes generan un costo.
-Recuerda que para la gestión de usuarios en los aplicativos no se aceptarán que los usuarios o perfiles se usen como usuarios espejo. Los usuarios son de uso personal y no se deben compartir a otros Mundialistas.</t>
  </si>
  <si>
    <t>Correo Electronico*</t>
  </si>
  <si>
    <t>Nombre Del Colaborador*</t>
  </si>
  <si>
    <t>Infraestructura Nube*</t>
  </si>
  <si>
    <t>Proyecto</t>
  </si>
  <si>
    <t>Responsable según Matriz de escalamiento</t>
  </si>
  <si>
    <t>Centro de costos (CECO)</t>
  </si>
  <si>
    <t>Consecutivo presupuestal</t>
  </si>
  <si>
    <t>Perfil*</t>
  </si>
  <si>
    <t>Vigencia del usuario</t>
  </si>
  <si>
    <t>Otro tipo de perfil?</t>
  </si>
  <si>
    <t>Fecha de Desactivacion (si es Temporal)</t>
  </si>
  <si>
    <t>Tipo de Usuario*</t>
  </si>
  <si>
    <t>Describir la finalidad del usuario*:</t>
  </si>
  <si>
    <t>NOMBRE APLICACIÓN</t>
  </si>
  <si>
    <t>TIPO DE USUARIO</t>
  </si>
  <si>
    <t>Aranda</t>
  </si>
  <si>
    <t>Gestión de solicitudes Tecnología</t>
  </si>
  <si>
    <t>Suite de Microsoft</t>
  </si>
  <si>
    <t>Arriendos Web</t>
  </si>
  <si>
    <t>Comercialización</t>
  </si>
  <si>
    <t>Licenciamiento</t>
  </si>
  <si>
    <t>AuraQuantic</t>
  </si>
  <si>
    <t>Gestión de solicitudes Negocio</t>
  </si>
  <si>
    <t>Usuario</t>
  </si>
  <si>
    <t>Judiciales</t>
  </si>
  <si>
    <t>Mi Ruta</t>
  </si>
  <si>
    <t>Gestión documentación interna</t>
  </si>
  <si>
    <t>Microsoft</t>
  </si>
  <si>
    <t>Mundial Express</t>
  </si>
  <si>
    <t>Pharos</t>
  </si>
  <si>
    <t>Comercialización (CORE)</t>
  </si>
  <si>
    <t>Portal Firma Electrónica</t>
  </si>
  <si>
    <t>Gestión de firmas digitales</t>
  </si>
  <si>
    <t>Salesforce</t>
  </si>
  <si>
    <t>CRM</t>
  </si>
  <si>
    <t>SARA</t>
  </si>
  <si>
    <t>Gestión de talento humano</t>
  </si>
  <si>
    <t>SISE</t>
  </si>
  <si>
    <t>Financiero (CORE)</t>
  </si>
  <si>
    <t>Infraestructura</t>
  </si>
  <si>
    <t>concat</t>
  </si>
  <si>
    <t>Responsable</t>
  </si>
  <si>
    <t>AWS</t>
  </si>
  <si>
    <t>Consola</t>
  </si>
  <si>
    <t>Oscar Peña / Accesos y licenciamiento / Riesgos</t>
  </si>
  <si>
    <t>Arriendos WEB/Express</t>
  </si>
  <si>
    <t>Diana Fernandez Abril</t>
  </si>
  <si>
    <t>Circular 040/Carnet Virtual</t>
  </si>
  <si>
    <t>Mario Niño</t>
  </si>
  <si>
    <t>Concentrador de pagos</t>
  </si>
  <si>
    <t>Gloria Zapata Produccion/Augusto Fagua QA</t>
  </si>
  <si>
    <t>Ecommerce</t>
  </si>
  <si>
    <t>Juan Camilo Ortiz / Anderson Villamizar</t>
  </si>
  <si>
    <t>Radicador</t>
  </si>
  <si>
    <t>Fabian Silva</t>
  </si>
  <si>
    <t>Seguro Tercero</t>
  </si>
  <si>
    <t>Usuario Mundialista</t>
  </si>
  <si>
    <t>ESB</t>
  </si>
  <si>
    <t>Leonardo Wilches</t>
  </si>
  <si>
    <t>DBA SARLAFT</t>
  </si>
  <si>
    <t>Jose Salazar</t>
  </si>
  <si>
    <t>Bloc Mercadeo</t>
  </si>
  <si>
    <t>Luisa Fernanda Parada</t>
  </si>
  <si>
    <t>AZURE</t>
  </si>
  <si>
    <t>AD Connect</t>
  </si>
  <si>
    <t>Jonathan Gonzalez</t>
  </si>
  <si>
    <t>Robot</t>
  </si>
  <si>
    <t>Camila Betancourt</t>
  </si>
  <si>
    <t>GCP</t>
  </si>
  <si>
    <t>Data Lake</t>
  </si>
  <si>
    <t>Base unica de clientes</t>
  </si>
  <si>
    <t>Mulesoft</t>
  </si>
  <si>
    <t>AZURE Dev Ops</t>
  </si>
  <si>
    <t>Sebastian Diaz Mahecha</t>
  </si>
  <si>
    <t>BitBucket</t>
  </si>
  <si>
    <t>Data Dog</t>
  </si>
  <si>
    <t>Daniel Galindo</t>
  </si>
  <si>
    <t>Postman</t>
  </si>
  <si>
    <t>Hopex</t>
  </si>
  <si>
    <t>Invitado</t>
  </si>
  <si>
    <t>Interés general (limitado).</t>
  </si>
  <si>
    <t>Bajo</t>
  </si>
  <si>
    <t>Interés general.</t>
  </si>
  <si>
    <t>Medio</t>
  </si>
  <si>
    <t>Interés general, blogs, sitios de negocio y finanzas.</t>
  </si>
  <si>
    <t>Talento Humano</t>
  </si>
  <si>
    <t>Redes sociales, interés general, sitios de redes laborales, blogs, foros.</t>
  </si>
  <si>
    <t>Redes sociales</t>
  </si>
  <si>
    <t>Sitios de streaming, redes sociales, interés general, blogs, foros.</t>
  </si>
  <si>
    <t>Tecnología</t>
  </si>
  <si>
    <t>Sitios de streaming, almacenamiento cloud, sitios de entretenimiento, mensajeria instantanea, interés general, sitios de negocio y finanzas.</t>
  </si>
  <si>
    <t>Alto</t>
  </si>
  <si>
    <t>Sitios de streaming, sitios de entretenimiento, mensajeria instantánea, interés general, sitios de negocio y finanzas.</t>
  </si>
  <si>
    <t>VIP</t>
  </si>
  <si>
    <t>Sitios de streaming, almacenamiento cloud, sitios de entretenimiento, mensajeria instantánea, interés general, sitios de negocio y finanzas.</t>
  </si>
  <si>
    <t>\\ibm-svrftp\Siniestros</t>
  </si>
  <si>
    <t>Lectura y escritura</t>
  </si>
  <si>
    <t>Indemnizaciones Salud</t>
  </si>
  <si>
    <t>Angello Perilla Ampudia</t>
  </si>
  <si>
    <t>Gestor Especializado en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</si>
</sst>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D0D0D"/>
      <name val="Ubuntu"/>
      <family val="2"/>
    </font>
    <font>
      <b/>
      <sz val="16"/>
      <color theme="0"/>
      <name val="Ubuntu"/>
      <family val="2"/>
    </font>
    <font>
      <sz val="12"/>
      <color theme="1"/>
      <name val="Ubuntu"/>
      <family val="2"/>
    </font>
    <font>
      <b/>
      <sz val="16"/>
      <color theme="1"/>
      <name val="Ubuntu"/>
      <family val="2"/>
    </font>
    <font>
      <b/>
      <sz val="14"/>
      <color theme="0"/>
      <name val="Ubuntu"/>
      <family val="2"/>
    </font>
    <font>
      <b/>
      <sz val="14"/>
      <color theme="1"/>
      <name val="Ubuntu"/>
      <family val="2"/>
    </font>
    <font>
      <sz val="14"/>
      <color theme="1"/>
      <name val="Ubuntu"/>
      <family val="2"/>
    </font>
    <font>
      <sz val="14"/>
      <color rgb="FF000000"/>
      <name val="Ubuntu"/>
      <family val="2"/>
    </font>
    <font>
      <b/>
      <sz val="12"/>
      <color theme="1"/>
      <name val="Ubuntu"/>
      <family val="2"/>
    </font>
    <font>
      <b/>
      <sz val="11"/>
      <color theme="0"/>
      <name val="Ubuntu"/>
      <family val="2"/>
    </font>
    <font>
      <u/>
      <sz val="11"/>
      <color theme="1"/>
      <name val="Aptos Narrow"/>
      <family val="2"/>
      <scheme val="minor"/>
    </font>
    <font>
      <sz val="12"/>
      <color rgb="FF000000"/>
      <name val="Ubuntu"/>
      <family val="2"/>
    </font>
    <font>
      <sz val="16"/>
      <color theme="1"/>
      <name val="Ubuntu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88">
    <xf numFmtId="0" fontId="0" fillId="0" borderId="0" xfId="0"/>
    <xf numFmtId="0" fontId="2" fillId="4" borderId="19" xfId="0" applyFont="1" applyFill="1" applyBorder="1" applyAlignment="1">
      <alignment horizontal="justify" vertical="center" wrapText="1"/>
    </xf>
    <xf numFmtId="0" fontId="2" fillId="4" borderId="20" xfId="0" applyFont="1" applyFill="1" applyBorder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justify" vertical="center" wrapText="1"/>
    </xf>
    <xf numFmtId="0" fontId="4" fillId="0" borderId="0" xfId="1" applyFont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7" fillId="0" borderId="5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7" fillId="3" borderId="5" xfId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5" xfId="0" applyBorder="1" applyAlignment="1">
      <alignment horizontal="center" vertical="top"/>
    </xf>
    <xf numFmtId="0" fontId="2" fillId="0" borderId="19" xfId="0" applyFont="1" applyBorder="1" applyAlignment="1">
      <alignment horizontal="left" vertical="center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0" fillId="7" borderId="0" xfId="0" applyFill="1"/>
    <xf numFmtId="0" fontId="12" fillId="7" borderId="0" xfId="0" applyFont="1" applyFill="1"/>
    <xf numFmtId="0" fontId="14" fillId="0" borderId="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4" fillId="0" borderId="5" xfId="1" applyFont="1" applyBorder="1"/>
    <xf numFmtId="0" fontId="5" fillId="0" borderId="0" xfId="1" applyFont="1" applyAlignment="1">
      <alignment vertical="top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8" fillId="0" borderId="6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center" vertical="center"/>
    </xf>
    <xf numFmtId="14" fontId="8" fillId="0" borderId="12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top" wrapText="1"/>
    </xf>
    <xf numFmtId="0" fontId="8" fillId="0" borderId="5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3" borderId="23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indent="1"/>
    </xf>
    <xf numFmtId="0" fontId="6" fillId="2" borderId="2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5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15" fillId="0" borderId="1" xfId="2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 applyProtection="1">
      <alignment horizontal="right" vertical="center"/>
      <protection locked="0"/>
    </xf>
    <xf numFmtId="0" fontId="8" fillId="0" borderId="13" xfId="1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CE27ED7F-56A0-48B0-B3BA-D0B0BC5EF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47067</xdr:colOff>
      <xdr:row>48</xdr:row>
      <xdr:rowOff>159077</xdr:rowOff>
    </xdr:from>
    <xdr:to>
      <xdr:col>16</xdr:col>
      <xdr:colOff>580992</xdr:colOff>
      <xdr:row>53</xdr:row>
      <xdr:rowOff>70577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506892" y="9303077"/>
          <a:ext cx="3429525" cy="864000"/>
        </a:xfrm>
        <a:prstGeom prst="roundRect">
          <a:avLst>
            <a:gd name="adj" fmla="val 8262"/>
          </a:avLst>
        </a:prstGeom>
        <a:ln w="28575"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CO" sz="2300" b="1">
            <a:latin typeface="Ubuntu" panose="020B050403060203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483802</xdr:colOff>
      <xdr:row>77</xdr:row>
      <xdr:rowOff>95250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E31A059A-9B2A-CEAA-EF1D-6E92DD712DBC}"/>
            </a:ext>
          </a:extLst>
        </xdr:cNvPr>
        <xdr:cNvGrpSpPr/>
      </xdr:nvGrpSpPr>
      <xdr:grpSpPr>
        <a:xfrm>
          <a:off x="0" y="0"/>
          <a:ext cx="27416750" cy="13430250"/>
          <a:chOff x="0" y="0"/>
          <a:chExt cx="26322529" cy="14763750"/>
        </a:xfrm>
      </xdr:grpSpPr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6322529" cy="14763750"/>
          </a:xfrm>
          <a:prstGeom prst="rect">
            <a:avLst/>
          </a:prstGeom>
        </xdr:spPr>
      </xdr:pic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468144" y="263638"/>
            <a:ext cx="24933080" cy="1876012"/>
          </a:xfrm>
          <a:prstGeom prst="roundRect">
            <a:avLst>
              <a:gd name="adj" fmla="val 0"/>
            </a:avLst>
          </a:prstGeom>
          <a:solidFill>
            <a:schemeClr val="accent1">
              <a:lumMod val="5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3200" b="1">
                <a:latin typeface="Ubuntu" panose="020B0504030602030204" pitchFamily="34" charset="0"/>
              </a:rPr>
              <a:t>FORMATO</a:t>
            </a:r>
            <a:r>
              <a:rPr lang="es-CO" sz="3200" b="1" baseline="0">
                <a:latin typeface="Ubuntu" panose="020B0504030602030204" pitchFamily="34" charset="0"/>
              </a:rPr>
              <a:t> SOLICITUD GESTIÓN DE USUARIOS EN APLICATIVOS</a:t>
            </a:r>
            <a:endParaRPr lang="es-CO" sz="3200" b="1">
              <a:latin typeface="Ubuntu" panose="020B0504030602030204" pitchFamily="34" charset="0"/>
            </a:endParaRPr>
          </a:p>
        </xdr:txBody>
      </xdr:sp>
      <xdr:sp macro="" textlink="">
        <xdr:nvSpPr>
          <xdr:cNvPr id="43" name="Rectángulo: esquinas redondeadas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489364" y="3030680"/>
            <a:ext cx="13352318" cy="9195955"/>
          </a:xfrm>
          <a:prstGeom prst="roundRect">
            <a:avLst>
              <a:gd name="adj" fmla="val 8262"/>
            </a:avLst>
          </a:prstGeom>
          <a:ln w="28575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513927" y="5337709"/>
            <a:ext cx="6031715" cy="2022518"/>
          </a:xfrm>
          <a:prstGeom prst="rect">
            <a:avLst/>
          </a:prstGeom>
        </xdr:spPr>
      </xdr:pic>
      <xdr:sp macro="" textlink="">
        <xdr:nvSpPr>
          <xdr:cNvPr id="54" name="Rectángulo: esquinas redondeadas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1818410" y="5074226"/>
            <a:ext cx="12469090" cy="1385456"/>
          </a:xfrm>
          <a:prstGeom prst="roundRect">
            <a:avLst>
              <a:gd name="adj" fmla="val 8262"/>
            </a:avLst>
          </a:prstGeom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2300" b="1">
                <a:latin typeface="Ubuntu" panose="020B0504030602030204" pitchFamily="34" charset="0"/>
              </a:rPr>
              <a:t>Para</a:t>
            </a:r>
            <a:r>
              <a:rPr lang="es-CO" sz="2300" b="1" baseline="0">
                <a:latin typeface="Ubuntu" panose="020B0504030602030204" pitchFamily="34" charset="0"/>
              </a:rPr>
              <a:t> solicitar la creación o gestión del usuario de algún aplicativo interno de la compañía diferentes a los descritos en las siguientes opciones,  diligencia los campos de la sección:</a:t>
            </a:r>
          </a:p>
        </xdr:txBody>
      </xdr:sp>
      <xdr:sp macro="" textlink="">
        <xdr:nvSpPr>
          <xdr:cNvPr id="55" name="Rectángulo: esquinas redondeadas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849583" y="7581891"/>
            <a:ext cx="12334008" cy="854475"/>
          </a:xfrm>
          <a:prstGeom prst="roundRect">
            <a:avLst>
              <a:gd name="adj" fmla="val 8262"/>
            </a:avLst>
          </a:prstGeom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2300" b="1">
                <a:latin typeface="Ubuntu" panose="020B0504030602030204" pitchFamily="34" charset="0"/>
              </a:rPr>
              <a:t>Si requieres</a:t>
            </a:r>
            <a:r>
              <a:rPr lang="es-CO" sz="2300" b="1" baseline="0">
                <a:latin typeface="Ubuntu" panose="020B0504030602030204" pitchFamily="34" charset="0"/>
              </a:rPr>
              <a:t> la creación o gestión del usuario en el aplicativo Agilísimo o WebSOAT,  diligencia los campos de la sección:</a:t>
            </a:r>
            <a:endParaRPr lang="es-CO" sz="2300" b="1">
              <a:latin typeface="Ubuntu" panose="020B0504030602030204" pitchFamily="34" charset="0"/>
            </a:endParaRPr>
          </a:p>
        </xdr:txBody>
      </xdr:sp>
      <xdr:sp macro="" textlink="">
        <xdr:nvSpPr>
          <xdr:cNvPr id="56" name="Rectángulo: esquinas redondeadas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1898073" y="9621970"/>
            <a:ext cx="12302835" cy="1323118"/>
          </a:xfrm>
          <a:prstGeom prst="roundRect">
            <a:avLst>
              <a:gd name="adj" fmla="val 8262"/>
            </a:avLst>
          </a:prstGeom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2300" b="1">
                <a:latin typeface="Ubuntu" panose="020B0504030602030204" pitchFamily="34" charset="0"/>
              </a:rPr>
              <a:t>Si requieres la creación o gestión del usuario en el aplicativo AWS,</a:t>
            </a:r>
            <a:r>
              <a:rPr lang="es-CO" sz="2300" b="1" baseline="0">
                <a:latin typeface="Ubuntu" panose="020B0504030602030204" pitchFamily="34" charset="0"/>
              </a:rPr>
              <a:t> AZURE, AZURE Devops, GCP o BitBucket </a:t>
            </a:r>
            <a:r>
              <a:rPr lang="es-CO" sz="2300" b="1">
                <a:latin typeface="Ubuntu" panose="020B0504030602030204" pitchFamily="34" charset="0"/>
              </a:rPr>
              <a:t>,  diligencia los campos de la sección:</a:t>
            </a:r>
          </a:p>
        </xdr:txBody>
      </xdr:sp>
      <xdr:sp macro="" textlink="">
        <xdr:nvSpPr>
          <xdr:cNvPr id="57" name="Rectángulo: esquinas redondeadas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2216728" y="3654134"/>
            <a:ext cx="11412681" cy="1194956"/>
          </a:xfrm>
          <a:prstGeom prst="roundRect">
            <a:avLst>
              <a:gd name="adj" fmla="val 8262"/>
            </a:avLst>
          </a:prstGeom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2800" b="1">
                <a:latin typeface="Ubuntu" panose="020B0504030602030204" pitchFamily="34" charset="0"/>
              </a:rPr>
              <a:t>Hola Mundialista, </a:t>
            </a:r>
          </a:p>
          <a:p>
            <a:pPr algn="l"/>
            <a:r>
              <a:rPr lang="es-CO" sz="2800" b="1">
                <a:latin typeface="Ubuntu" panose="020B0504030602030204" pitchFamily="34" charset="0"/>
              </a:rPr>
              <a:t>¿En qué podemos ayudarte?:</a:t>
            </a:r>
          </a:p>
        </xdr:txBody>
      </xdr: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81C956E0-83B6-45BD-97E8-DF67DF1CB36F}"/>
              </a:ext>
            </a:extLst>
          </xdr:cNvPr>
          <xdr:cNvSpPr/>
        </xdr:nvSpPr>
        <xdr:spPr>
          <a:xfrm>
            <a:off x="1835727" y="6667499"/>
            <a:ext cx="12469090" cy="623455"/>
          </a:xfrm>
          <a:prstGeom prst="roundRect">
            <a:avLst>
              <a:gd name="adj" fmla="val 8262"/>
            </a:avLst>
          </a:prstGeom>
          <a:solidFill>
            <a:srgbClr val="0070C0"/>
          </a:solidFill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2300" b="1" baseline="0">
                <a:solidFill>
                  <a:schemeClr val="bg1"/>
                </a:solidFill>
                <a:latin typeface="Ubuntu" panose="020B0504030602030204" pitchFamily="34" charset="0"/>
              </a:rPr>
              <a:t>A. INFORMACIÓN BÁSICA PARA GESTIÓN USUARIOS EN APLICATIVOS.</a:t>
            </a:r>
          </a:p>
        </xdr:txBody>
      </xdr:sp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AE1315E9-4690-4A4F-8178-5C0886BFCF28}"/>
              </a:ext>
            </a:extLst>
          </xdr:cNvPr>
          <xdr:cNvSpPr/>
        </xdr:nvSpPr>
        <xdr:spPr>
          <a:xfrm>
            <a:off x="1832265" y="8828805"/>
            <a:ext cx="12469090" cy="623455"/>
          </a:xfrm>
          <a:prstGeom prst="roundRect">
            <a:avLst>
              <a:gd name="adj" fmla="val 8262"/>
            </a:avLst>
          </a:prstGeom>
          <a:solidFill>
            <a:srgbClr val="0070C0"/>
          </a:solidFill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2300" b="1" baseline="0">
                <a:solidFill>
                  <a:schemeClr val="bg1"/>
                </a:solidFill>
                <a:latin typeface="Ubuntu" panose="020B0504030602030204" pitchFamily="34" charset="0"/>
              </a:rPr>
              <a:t>B. INFORMACIÓN BÁSICA PARA GESTIÓN USUARIOS EN AGILÍSIMO (WEBSOAT). </a:t>
            </a:r>
          </a:p>
        </xdr:txBody>
      </xdr:sp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0BAA80F7-6D0C-4A38-84D6-1DA0E7957D6D}"/>
              </a:ext>
            </a:extLst>
          </xdr:cNvPr>
          <xdr:cNvSpPr/>
        </xdr:nvSpPr>
        <xdr:spPr>
          <a:xfrm>
            <a:off x="1880757" y="10938157"/>
            <a:ext cx="12469090" cy="623455"/>
          </a:xfrm>
          <a:prstGeom prst="roundRect">
            <a:avLst>
              <a:gd name="adj" fmla="val 8262"/>
            </a:avLst>
          </a:prstGeom>
          <a:solidFill>
            <a:srgbClr val="0070C0"/>
          </a:solidFill>
          <a:ln w="28575"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2300" b="1" baseline="0">
                <a:solidFill>
                  <a:schemeClr val="bg1"/>
                </a:solidFill>
                <a:latin typeface="Ubuntu" panose="020B0504030602030204" pitchFamily="34" charset="0"/>
              </a:rPr>
              <a:t>C. INFORMACIÓN BÁSICA PARA GESTIÓN USUARIOS EN NUBE.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114877</xdr:colOff>
      <xdr:row>7</xdr:row>
      <xdr:rowOff>26348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0" y="1728107"/>
          <a:ext cx="114877" cy="124773"/>
          <a:chOff x="137561" y="1201599"/>
          <a:chExt cx="2041282" cy="857250"/>
        </a:xfrm>
        <a:noFill/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200024" y="1201599"/>
            <a:ext cx="1978819" cy="857250"/>
          </a:xfrm>
          <a:prstGeom prst="roundRect">
            <a:avLst/>
          </a:prstGeom>
          <a:grpFill/>
          <a:ln>
            <a:noFill/>
          </a:ln>
          <a:effectLst>
            <a:glow rad="127000">
              <a:schemeClr val="accent1"/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137561" y="1308519"/>
            <a:ext cx="1944116" cy="532018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s-CO" sz="1800" b="1" i="0" u="none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1</xdr:col>
      <xdr:colOff>534754</xdr:colOff>
      <xdr:row>0</xdr:row>
      <xdr:rowOff>61779</xdr:rowOff>
    </xdr:from>
    <xdr:to>
      <xdr:col>2</xdr:col>
      <xdr:colOff>250441</xdr:colOff>
      <xdr:row>4</xdr:row>
      <xdr:rowOff>50669</xdr:rowOff>
    </xdr:to>
    <xdr:pic>
      <xdr:nvPicPr>
        <xdr:cNvPr id="5" name="Imagen 5" descr="Caso de Éxito - Seguros Mundial - Itera Process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C2E57F2E-9239-4C53-A6E7-A71CA5238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861" y="61779"/>
          <a:ext cx="2508961" cy="1302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\\ibm-svrftp\Siniest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022A-C02E-4F18-8878-01BF31C29A16}">
  <sheetPr codeName="Hoja13">
    <tabColor theme="3" tint="0.249977111117893"/>
    <pageSetUpPr autoPageBreaks="0"/>
  </sheetPr>
  <dimension ref="A1:AB79"/>
  <sheetViews>
    <sheetView showGridLines="0" zoomScale="55" zoomScaleNormal="55" workbookViewId="0">
      <selection activeCell="S1" sqref="S1:S79"/>
    </sheetView>
  </sheetViews>
  <sheetFormatPr baseColWidth="10" defaultColWidth="10.81640625" defaultRowHeight="14.5" x14ac:dyDescent="0.35"/>
  <cols>
    <col min="1" max="1" width="10.81640625" style="19"/>
    <col min="2" max="2" width="34.1796875" style="19" customWidth="1"/>
    <col min="3" max="3" width="27.453125" style="19" customWidth="1"/>
    <col min="4" max="4" width="61.81640625" style="19" customWidth="1"/>
    <col min="5" max="5" width="26.453125" style="19" customWidth="1"/>
    <col min="6" max="6" width="42.1796875" style="19" customWidth="1"/>
    <col min="7" max="7" width="26.453125" style="19" customWidth="1"/>
    <col min="8" max="8" width="10.81640625" style="19"/>
    <col min="9" max="9" width="20.453125" style="19" customWidth="1"/>
    <col min="10" max="10" width="22.54296875" style="19" customWidth="1"/>
    <col min="11" max="11" width="27.81640625" style="19" customWidth="1"/>
    <col min="12" max="18" width="10.81640625" style="19"/>
    <col min="19" max="19" width="143.81640625" style="19" customWidth="1"/>
    <col min="20" max="16384" width="10.81640625" style="19"/>
  </cols>
  <sheetData>
    <row r="1" spans="1:19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 t="s">
        <v>0</v>
      </c>
    </row>
    <row r="2" spans="1:19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x14ac:dyDescent="0.3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x14ac:dyDescent="0.3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x14ac:dyDescent="0.3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x14ac:dyDescent="0.3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x14ac:dyDescent="0.3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x14ac:dyDescent="0.3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x14ac:dyDescent="0.3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x14ac:dyDescent="0.3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1:19" x14ac:dyDescent="0.3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x14ac:dyDescent="0.3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1:19" x14ac:dyDescent="0.3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1:19" x14ac:dyDescent="0.3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x14ac:dyDescent="0.3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x14ac:dyDescent="0.3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19" x14ac:dyDescent="0.3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19" x14ac:dyDescent="0.3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pans="1:19" x14ac:dyDescent="0.3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spans="1:19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spans="1:19" x14ac:dyDescent="0.3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3" spans="1:19" x14ac:dyDescent="0.3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spans="1:19" x14ac:dyDescent="0.3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</row>
    <row r="25" spans="1:19" x14ac:dyDescent="0.3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spans="1:19" x14ac:dyDescent="0.3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spans="1:19" x14ac:dyDescent="0.3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spans="1:19" x14ac:dyDescent="0.3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spans="1:19" x14ac:dyDescent="0.3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spans="1:19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  <row r="31" spans="1:19" x14ac:dyDescent="0.3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</row>
    <row r="32" spans="1:19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1:19" x14ac:dyDescent="0.3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</row>
    <row r="34" spans="1:19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spans="1:19" x14ac:dyDescent="0.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spans="1:19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</row>
    <row r="37" spans="1:19" x14ac:dyDescent="0.3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</row>
    <row r="38" spans="1:19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spans="1:19" x14ac:dyDescent="0.3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spans="1:19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spans="1:19" x14ac:dyDescent="0.3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</row>
    <row r="42" spans="1:19" x14ac:dyDescent="0.3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spans="1:19" x14ac:dyDescent="0.3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spans="1:19" x14ac:dyDescent="0.3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spans="1:19" x14ac:dyDescent="0.3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 spans="1:19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spans="1:19" x14ac:dyDescent="0.3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48" spans="1:19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</row>
    <row r="49" spans="1:28" x14ac:dyDescent="0.3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AB49" s="20"/>
    </row>
    <row r="50" spans="1:28" x14ac:dyDescent="0.3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</row>
    <row r="51" spans="1:28" x14ac:dyDescent="0.3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</row>
    <row r="52" spans="1:28" x14ac:dyDescent="0.3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28" x14ac:dyDescent="0.3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28" x14ac:dyDescent="0.3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28" x14ac:dyDescent="0.3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28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28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28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28" x14ac:dyDescent="0.3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28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28" x14ac:dyDescent="0.3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28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28" x14ac:dyDescent="0.3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28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 x14ac:dyDescent="0.3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 x14ac:dyDescent="0.3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 ht="409.5" customHeigh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</sheetData>
  <mergeCells count="2">
    <mergeCell ref="A1:R79"/>
    <mergeCell ref="S1:S79"/>
  </mergeCells>
  <pageMargins left="0.7" right="0.7" top="0.75" bottom="0.75" header="0.3" footer="0.3"/>
  <pageSetup orientation="portrait" r:id="rId1"/>
  <headerFooter>
    <oddFooter>&amp;R_x000D_&amp;1#&amp;"ubuntu"&amp;10&amp;K003045 Información PRIVADA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A00B-DD4F-46AF-A9D1-A7B7E8577225}">
  <sheetPr codeName="Hoja1">
    <tabColor theme="3" tint="0.249977111117893"/>
  </sheetPr>
  <dimension ref="A1:Q93"/>
  <sheetViews>
    <sheetView showGridLines="0" tabSelected="1" zoomScale="70" zoomScaleNormal="70" zoomScalePageLayoutView="70" workbookViewId="0">
      <selection activeCell="B32" sqref="B32:E32"/>
    </sheetView>
  </sheetViews>
  <sheetFormatPr baseColWidth="10" defaultColWidth="11.1796875" defaultRowHeight="15" x14ac:dyDescent="0.3"/>
  <cols>
    <col min="1" max="1" width="3" style="5" customWidth="1"/>
    <col min="2" max="2" width="41.81640625" style="6" customWidth="1"/>
    <col min="3" max="3" width="14.54296875" style="6" customWidth="1"/>
    <col min="4" max="4" width="32.1796875" style="6" customWidth="1"/>
    <col min="5" max="5" width="48.453125" style="6" customWidth="1"/>
    <col min="6" max="6" width="2.1796875" style="6" customWidth="1"/>
    <col min="7" max="7" width="28" style="6" customWidth="1"/>
    <col min="8" max="8" width="20.453125" style="6" customWidth="1"/>
    <col min="9" max="9" width="22.453125" style="6" customWidth="1"/>
    <col min="10" max="10" width="2.1796875" style="6" customWidth="1"/>
    <col min="11" max="11" width="33.453125" style="6" bestFit="1" customWidth="1"/>
    <col min="12" max="13" width="2.1796875" style="6" customWidth="1"/>
    <col min="14" max="14" width="8.1796875" style="6" customWidth="1"/>
    <col min="15" max="15" width="38.453125" style="6" customWidth="1"/>
    <col min="16" max="16" width="9" style="5" customWidth="1"/>
    <col min="17" max="17" width="45.1796875" style="5" bestFit="1" customWidth="1"/>
    <col min="18" max="16384" width="11.1796875" style="5"/>
  </cols>
  <sheetData>
    <row r="1" spans="1:17" s="6" customFormat="1" ht="7.5" customHeight="1" x14ac:dyDescent="0.3">
      <c r="A1" s="5"/>
    </row>
    <row r="2" spans="1:17" s="6" customFormat="1" ht="24.75" customHeight="1" x14ac:dyDescent="0.3">
      <c r="A2" s="5"/>
      <c r="B2" s="73"/>
      <c r="C2" s="74"/>
      <c r="D2" s="82" t="s">
        <v>1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s="6" customFormat="1" ht="35.25" customHeight="1" x14ac:dyDescent="0.3">
      <c r="A3" s="5"/>
      <c r="B3" s="75"/>
      <c r="C3" s="76"/>
      <c r="D3" s="82" t="s">
        <v>2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s="6" customFormat="1" ht="35.25" customHeight="1" x14ac:dyDescent="0.3">
      <c r="A4" s="5"/>
      <c r="B4" s="77"/>
      <c r="C4" s="78"/>
      <c r="D4" s="83" t="s">
        <v>3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</row>
    <row r="5" spans="1:17" s="6" customFormat="1" ht="7.5" customHeight="1" x14ac:dyDescent="0.3">
      <c r="A5" s="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7" s="6" customFormat="1" ht="25.5" customHeight="1" x14ac:dyDescent="0.3">
      <c r="A6" s="5"/>
      <c r="B6" s="58" t="s">
        <v>4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1:17" s="6" customFormat="1" ht="7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7" s="6" customFormat="1" ht="40.5" customHeight="1" x14ac:dyDescent="0.3">
      <c r="A8" s="5"/>
      <c r="B8" s="9" t="s">
        <v>5</v>
      </c>
      <c r="C8" s="79" t="s">
        <v>143</v>
      </c>
      <c r="D8" s="80"/>
      <c r="E8" s="80"/>
      <c r="F8" s="80"/>
      <c r="G8" s="80"/>
      <c r="H8" s="80"/>
      <c r="I8" s="81"/>
      <c r="K8" s="9" t="s">
        <v>6</v>
      </c>
      <c r="L8" s="46">
        <v>1033753593</v>
      </c>
      <c r="M8" s="46"/>
      <c r="N8" s="46"/>
      <c r="O8" s="46"/>
      <c r="P8" s="46"/>
      <c r="Q8" s="46"/>
    </row>
    <row r="9" spans="1:17" s="6" customFormat="1" ht="7.5" customHeight="1" x14ac:dyDescent="0.3">
      <c r="A9" s="5"/>
      <c r="B9" s="10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7" s="6" customFormat="1" ht="40.5" customHeight="1" x14ac:dyDescent="0.3">
      <c r="A10" s="5"/>
      <c r="B10" s="9" t="s">
        <v>7</v>
      </c>
      <c r="C10" s="84" t="s">
        <v>144</v>
      </c>
      <c r="D10" s="80"/>
      <c r="E10" s="80"/>
      <c r="F10" s="80"/>
      <c r="G10" s="80"/>
      <c r="H10" s="80"/>
      <c r="I10" s="81"/>
      <c r="K10" s="9" t="s">
        <v>8</v>
      </c>
      <c r="L10" s="46" t="s">
        <v>142</v>
      </c>
      <c r="M10" s="46"/>
      <c r="N10" s="46"/>
      <c r="O10" s="46"/>
      <c r="P10" s="46"/>
      <c r="Q10" s="46"/>
    </row>
    <row r="11" spans="1:17" s="6" customFormat="1" ht="7.5" customHeight="1" x14ac:dyDescent="0.3">
      <c r="A11" s="5"/>
      <c r="B11" s="10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s="6" customFormat="1" ht="43.5" customHeight="1" x14ac:dyDescent="0.3">
      <c r="A12" s="5"/>
      <c r="B12" s="9" t="s">
        <v>9</v>
      </c>
      <c r="C12" s="31"/>
      <c r="D12" s="32"/>
      <c r="E12" s="33"/>
      <c r="G12" s="34" t="s">
        <v>10</v>
      </c>
      <c r="H12" s="35"/>
      <c r="I12" s="31"/>
      <c r="J12" s="32"/>
      <c r="K12" s="33"/>
      <c r="L12" s="46"/>
      <c r="M12" s="46"/>
      <c r="N12" s="46"/>
      <c r="O12" s="46"/>
      <c r="P12" s="46"/>
      <c r="Q12" s="46"/>
    </row>
    <row r="13" spans="1:17" s="6" customFormat="1" ht="7.5" customHeight="1" x14ac:dyDescent="0.3">
      <c r="A13" s="5"/>
      <c r="B13" s="7"/>
      <c r="L13" s="5"/>
      <c r="M13" s="5"/>
      <c r="N13" s="5"/>
    </row>
    <row r="14" spans="1:17" s="6" customFormat="1" ht="39" customHeight="1" x14ac:dyDescent="0.3">
      <c r="A14" s="5"/>
      <c r="B14" s="9" t="s">
        <v>11</v>
      </c>
      <c r="C14" s="31"/>
      <c r="D14" s="32"/>
      <c r="E14" s="33"/>
      <c r="G14" s="34" t="s">
        <v>12</v>
      </c>
      <c r="H14" s="35"/>
      <c r="I14" s="36"/>
      <c r="J14" s="36"/>
      <c r="K14" s="36"/>
      <c r="L14" s="37"/>
      <c r="N14" s="11"/>
      <c r="O14" s="12" t="s">
        <v>13</v>
      </c>
      <c r="P14" s="11"/>
      <c r="Q14" s="12" t="s">
        <v>14</v>
      </c>
    </row>
    <row r="15" spans="1:17" s="6" customFormat="1" ht="7.5" customHeight="1" x14ac:dyDescent="0.3">
      <c r="A15" s="5"/>
      <c r="B15" s="10"/>
      <c r="C15" s="5"/>
      <c r="D15" s="5"/>
      <c r="E15" s="5"/>
      <c r="G15" s="5"/>
      <c r="H15" s="5"/>
      <c r="I15" s="5"/>
      <c r="J15" s="5"/>
      <c r="K15" s="5"/>
      <c r="L15" s="5"/>
      <c r="M15" s="5"/>
      <c r="N15" s="5"/>
      <c r="O15" s="5"/>
    </row>
    <row r="16" spans="1:17" s="6" customFormat="1" ht="42" customHeight="1" x14ac:dyDescent="0.3">
      <c r="A16" s="5"/>
      <c r="B16" s="9" t="s">
        <v>15</v>
      </c>
      <c r="C16" s="31"/>
      <c r="D16" s="32"/>
      <c r="E16" s="33"/>
      <c r="G16" s="34" t="s">
        <v>16</v>
      </c>
      <c r="H16" s="35"/>
      <c r="I16" s="32"/>
      <c r="J16" s="32"/>
      <c r="K16" s="32"/>
      <c r="L16" s="33"/>
      <c r="N16" s="11"/>
      <c r="O16" s="12" t="s">
        <v>17</v>
      </c>
    </row>
    <row r="17" spans="1:17" s="6" customFormat="1" ht="7.5" customHeight="1" x14ac:dyDescent="0.3">
      <c r="A17" s="5"/>
      <c r="L17" s="5"/>
      <c r="M17" s="5"/>
      <c r="N17" s="5"/>
    </row>
    <row r="18" spans="1:17" s="6" customFormat="1" ht="7.5" customHeight="1" x14ac:dyDescent="0.3">
      <c r="A18" s="5"/>
      <c r="L18" s="5"/>
      <c r="M18" s="5"/>
      <c r="N18" s="5"/>
    </row>
    <row r="19" spans="1:17" s="6" customFormat="1" ht="25.5" customHeight="1" x14ac:dyDescent="0.3">
      <c r="A19" s="5"/>
      <c r="B19" s="39" t="s">
        <v>18</v>
      </c>
      <c r="C19" s="40"/>
      <c r="D19" s="40"/>
      <c r="E19" s="40"/>
      <c r="F19" s="40"/>
      <c r="G19" s="40"/>
      <c r="H19" s="40"/>
      <c r="I19" s="41"/>
      <c r="K19" s="43" t="s">
        <v>19</v>
      </c>
      <c r="L19" s="43"/>
      <c r="M19" s="43"/>
      <c r="N19" s="43"/>
      <c r="O19" s="43"/>
      <c r="P19" s="43"/>
      <c r="Q19" s="43"/>
    </row>
    <row r="20" spans="1:17" s="6" customFormat="1" ht="7.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K20" s="5"/>
      <c r="L20" s="5"/>
      <c r="M20" s="5"/>
      <c r="N20" s="5"/>
      <c r="O20" s="5"/>
    </row>
    <row r="21" spans="1:17" s="6" customFormat="1" ht="37.5" customHeight="1" x14ac:dyDescent="0.3">
      <c r="A21" s="5"/>
      <c r="B21" s="43" t="s">
        <v>20</v>
      </c>
      <c r="C21" s="44" t="s">
        <v>21</v>
      </c>
      <c r="D21" s="44"/>
      <c r="E21" s="43" t="s">
        <v>22</v>
      </c>
      <c r="F21" s="43" t="s">
        <v>23</v>
      </c>
      <c r="G21" s="43"/>
      <c r="H21" s="43"/>
      <c r="I21" s="43"/>
      <c r="K21" s="13" t="s">
        <v>24</v>
      </c>
      <c r="L21" s="46"/>
      <c r="M21" s="46"/>
      <c r="N21" s="46"/>
      <c r="O21" s="46"/>
      <c r="P21" s="46"/>
      <c r="Q21" s="46"/>
    </row>
    <row r="22" spans="1:17" s="6" customFormat="1" ht="7.5" customHeight="1" x14ac:dyDescent="0.3">
      <c r="A22" s="5"/>
      <c r="B22" s="43"/>
      <c r="C22" s="44"/>
      <c r="D22" s="44"/>
      <c r="E22" s="43"/>
      <c r="F22" s="43"/>
      <c r="G22" s="43"/>
      <c r="H22" s="43"/>
      <c r="I22" s="43"/>
      <c r="K22" s="5"/>
      <c r="L22" s="5"/>
      <c r="M22" s="5"/>
      <c r="N22" s="5"/>
      <c r="O22" s="5"/>
    </row>
    <row r="23" spans="1:17" s="6" customFormat="1" ht="28.5" customHeight="1" x14ac:dyDescent="0.3">
      <c r="A23" s="5"/>
      <c r="B23" s="22"/>
      <c r="C23" s="52" t="str">
        <f>IFERROR(VLOOKUP(B23,'DATOS Y RESPONSABLES ESCALAMIEN'!$B$1:$C$13,2,FALSE),"")</f>
        <v/>
      </c>
      <c r="D23" s="53"/>
      <c r="E23" s="23"/>
      <c r="F23" s="54"/>
      <c r="G23" s="55"/>
      <c r="H23" s="55"/>
      <c r="I23" s="56"/>
      <c r="K23" s="45" t="s">
        <v>25</v>
      </c>
      <c r="L23" s="45"/>
      <c r="M23" s="45"/>
      <c r="N23" s="45"/>
      <c r="O23" s="45"/>
      <c r="P23" s="45"/>
      <c r="Q23" s="45"/>
    </row>
    <row r="24" spans="1:17" s="6" customFormat="1" ht="35.25" customHeight="1" x14ac:dyDescent="0.3">
      <c r="A24" s="5"/>
      <c r="B24" s="22"/>
      <c r="C24" s="47" t="str">
        <f>IFERROR(VLOOKUP(B24,'DATOS Y RESPONSABLES ESCALAMIEN'!$B$1:$C$13,2,FALSE),"")</f>
        <v/>
      </c>
      <c r="D24" s="48"/>
      <c r="E24" s="23"/>
      <c r="F24" s="49"/>
      <c r="G24" s="50"/>
      <c r="H24" s="50"/>
      <c r="I24" s="51"/>
      <c r="K24" s="45"/>
      <c r="L24" s="45"/>
      <c r="M24" s="45"/>
      <c r="N24" s="45"/>
      <c r="O24" s="45"/>
      <c r="P24" s="45"/>
      <c r="Q24" s="45"/>
    </row>
    <row r="25" spans="1:17" s="6" customFormat="1" ht="28.5" customHeight="1" x14ac:dyDescent="0.3">
      <c r="A25" s="5"/>
      <c r="B25" s="22"/>
      <c r="C25" s="47" t="str">
        <f>IFERROR(VLOOKUP(B25,'DATOS Y RESPONSABLES ESCALAMIEN'!$B$1:$C$13,2,FALSE),"")</f>
        <v/>
      </c>
      <c r="D25" s="48"/>
      <c r="E25" s="23"/>
      <c r="F25" s="49"/>
      <c r="G25" s="50"/>
      <c r="H25" s="50"/>
      <c r="I25" s="51"/>
      <c r="K25" s="45"/>
      <c r="L25" s="45"/>
      <c r="M25" s="45"/>
      <c r="N25" s="45"/>
      <c r="O25" s="45"/>
      <c r="P25" s="45"/>
      <c r="Q25" s="45"/>
    </row>
    <row r="26" spans="1:17" s="6" customFormat="1" ht="28.5" customHeight="1" x14ac:dyDescent="0.3">
      <c r="A26" s="5"/>
      <c r="B26" s="22"/>
      <c r="C26" s="47" t="str">
        <f>IFERROR(VLOOKUP(B26,'DATOS Y RESPONSABLES ESCALAMIEN'!$B$1:$C$13,2,FALSE),"")</f>
        <v/>
      </c>
      <c r="D26" s="48"/>
      <c r="E26" s="23"/>
      <c r="F26" s="49"/>
      <c r="G26" s="50"/>
      <c r="H26" s="50"/>
      <c r="I26" s="51"/>
      <c r="K26" s="45"/>
      <c r="L26" s="45"/>
      <c r="M26" s="45"/>
      <c r="N26" s="45"/>
      <c r="O26" s="45"/>
      <c r="P26" s="45"/>
      <c r="Q26" s="45"/>
    </row>
    <row r="27" spans="1:17" s="6" customFormat="1" ht="28.5" customHeight="1" x14ac:dyDescent="0.3">
      <c r="A27" s="5"/>
      <c r="B27" s="22"/>
      <c r="C27" s="47" t="str">
        <f>IFERROR(VLOOKUP(B27,'DATOS Y RESPONSABLES ESCALAMIEN'!$B$1:$C$13,2,FALSE),"")</f>
        <v/>
      </c>
      <c r="D27" s="48"/>
      <c r="E27" s="23"/>
      <c r="F27" s="49"/>
      <c r="G27" s="50"/>
      <c r="H27" s="50"/>
      <c r="I27" s="51"/>
      <c r="K27" s="45"/>
      <c r="L27" s="45"/>
      <c r="M27" s="45"/>
      <c r="N27" s="45"/>
      <c r="O27" s="45"/>
      <c r="P27" s="45"/>
      <c r="Q27" s="45"/>
    </row>
    <row r="28" spans="1:17" s="6" customFormat="1" ht="7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K28" s="45"/>
      <c r="L28" s="45"/>
      <c r="M28" s="45"/>
      <c r="N28" s="45"/>
      <c r="O28" s="45"/>
      <c r="P28" s="45"/>
      <c r="Q28" s="45"/>
    </row>
    <row r="29" spans="1:17" s="6" customFormat="1" ht="25.5" customHeight="1" x14ac:dyDescent="0.3">
      <c r="A29" s="5"/>
      <c r="B29" s="39" t="s">
        <v>26</v>
      </c>
      <c r="C29" s="40"/>
      <c r="D29" s="40"/>
      <c r="E29" s="40"/>
      <c r="F29" s="40"/>
      <c r="G29" s="40"/>
      <c r="H29" s="40"/>
      <c r="I29" s="41"/>
      <c r="K29" s="45"/>
      <c r="L29" s="45"/>
      <c r="M29" s="45"/>
      <c r="N29" s="45"/>
      <c r="O29" s="45"/>
      <c r="P29" s="45"/>
      <c r="Q29" s="45"/>
    </row>
    <row r="30" spans="1:17" s="6" customFormat="1" ht="7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K30" s="45"/>
      <c r="L30" s="45"/>
      <c r="M30" s="45"/>
      <c r="N30" s="45"/>
      <c r="O30" s="45"/>
      <c r="P30" s="45"/>
      <c r="Q30" s="45"/>
    </row>
    <row r="31" spans="1:17" s="6" customFormat="1" ht="48" customHeight="1" x14ac:dyDescent="0.3">
      <c r="A31" s="5"/>
      <c r="B31" s="39" t="s">
        <v>27</v>
      </c>
      <c r="C31" s="40"/>
      <c r="D31" s="40"/>
      <c r="E31" s="41"/>
      <c r="F31" s="42" t="s">
        <v>28</v>
      </c>
      <c r="G31" s="42"/>
      <c r="H31" s="42"/>
      <c r="I31" s="42"/>
      <c r="K31" s="45"/>
      <c r="L31" s="45"/>
      <c r="M31" s="45"/>
      <c r="N31" s="45"/>
      <c r="O31" s="45"/>
      <c r="P31" s="45"/>
      <c r="Q31" s="45"/>
    </row>
    <row r="32" spans="1:17" s="6" customFormat="1" ht="36" customHeight="1" x14ac:dyDescent="0.3">
      <c r="A32" s="5"/>
      <c r="B32" s="69" t="s">
        <v>140</v>
      </c>
      <c r="C32" s="70"/>
      <c r="D32" s="70"/>
      <c r="E32" s="71"/>
      <c r="F32" s="49" t="s">
        <v>141</v>
      </c>
      <c r="G32" s="50"/>
      <c r="H32" s="50"/>
      <c r="I32" s="51"/>
      <c r="K32" s="45"/>
      <c r="L32" s="45"/>
      <c r="M32" s="45"/>
      <c r="N32" s="45"/>
      <c r="O32" s="45"/>
      <c r="P32" s="45"/>
      <c r="Q32" s="45"/>
    </row>
    <row r="33" spans="1:17" s="6" customFormat="1" ht="36" customHeight="1" x14ac:dyDescent="0.3">
      <c r="A33" s="5"/>
      <c r="B33" s="72"/>
      <c r="C33" s="70"/>
      <c r="D33" s="70"/>
      <c r="E33" s="71"/>
      <c r="F33" s="49"/>
      <c r="G33" s="50"/>
      <c r="H33" s="50"/>
      <c r="I33" s="51"/>
      <c r="K33" s="45"/>
      <c r="L33" s="45"/>
      <c r="M33" s="45"/>
      <c r="N33" s="45"/>
      <c r="O33" s="45"/>
      <c r="P33" s="45"/>
      <c r="Q33" s="45"/>
    </row>
    <row r="34" spans="1:17" s="6" customFormat="1" ht="36" customHeight="1" x14ac:dyDescent="0.3">
      <c r="A34" s="5"/>
      <c r="B34" s="72"/>
      <c r="C34" s="70"/>
      <c r="D34" s="70"/>
      <c r="E34" s="71"/>
      <c r="F34" s="49"/>
      <c r="G34" s="50"/>
      <c r="H34" s="50"/>
      <c r="I34" s="51"/>
      <c r="K34" s="45"/>
      <c r="L34" s="45"/>
      <c r="M34" s="45"/>
      <c r="N34" s="45"/>
      <c r="O34" s="45"/>
      <c r="P34" s="45"/>
      <c r="Q34" s="45"/>
    </row>
    <row r="35" spans="1:17" s="6" customFormat="1" ht="7.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7" ht="85.5" customHeight="1" x14ac:dyDescent="0.3">
      <c r="B36" s="44" t="s">
        <v>29</v>
      </c>
      <c r="C36" s="44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 s="6" customFormat="1" ht="30.75" customHeight="1" x14ac:dyDescent="0.3">
      <c r="A37" s="5"/>
    </row>
    <row r="38" spans="1:17" s="6" customFormat="1" ht="25.5" customHeight="1" x14ac:dyDescent="0.3">
      <c r="A38" s="5"/>
      <c r="B38" s="58" t="s">
        <v>30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spans="1:17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7" ht="41.15" customHeight="1" x14ac:dyDescent="0.3">
      <c r="B40" s="9" t="s">
        <v>15</v>
      </c>
      <c r="C40" s="38"/>
      <c r="D40" s="38"/>
      <c r="E40" s="38"/>
      <c r="F40" s="5"/>
      <c r="G40" s="44" t="s">
        <v>31</v>
      </c>
      <c r="H40" s="44"/>
      <c r="I40" s="66"/>
      <c r="J40" s="67"/>
      <c r="K40" s="68"/>
      <c r="L40" s="5"/>
      <c r="M40" s="45" t="s">
        <v>32</v>
      </c>
      <c r="N40" s="45"/>
      <c r="O40" s="45"/>
      <c r="P40" s="45"/>
      <c r="Q40" s="45"/>
    </row>
    <row r="41" spans="1:17" ht="15" customHeight="1" x14ac:dyDescent="0.3">
      <c r="B41" s="5"/>
      <c r="C41" s="5"/>
      <c r="F41" s="5"/>
      <c r="L41" s="5"/>
      <c r="M41" s="45"/>
      <c r="N41" s="45"/>
      <c r="O41" s="45"/>
      <c r="P41" s="45"/>
      <c r="Q41" s="45"/>
    </row>
    <row r="42" spans="1:17" ht="41.15" customHeight="1" x14ac:dyDescent="0.3">
      <c r="B42" s="9" t="s">
        <v>33</v>
      </c>
      <c r="C42" s="61"/>
      <c r="D42" s="62"/>
      <c r="E42" s="63"/>
      <c r="F42" s="5"/>
      <c r="G42" s="44" t="s">
        <v>34</v>
      </c>
      <c r="H42" s="44"/>
      <c r="I42" s="61"/>
      <c r="J42" s="62"/>
      <c r="K42" s="63"/>
      <c r="L42" s="5"/>
      <c r="M42" s="45"/>
      <c r="N42" s="45"/>
      <c r="O42" s="45"/>
      <c r="P42" s="45"/>
      <c r="Q42" s="45"/>
    </row>
    <row r="43" spans="1:17" ht="15" customHeight="1" x14ac:dyDescent="0.3">
      <c r="C43" s="5"/>
      <c r="F43" s="5"/>
      <c r="H43" s="5"/>
      <c r="I43" s="5"/>
      <c r="J43" s="5"/>
      <c r="K43" s="5"/>
      <c r="L43" s="5"/>
      <c r="M43" s="45"/>
      <c r="N43" s="45"/>
      <c r="O43" s="45"/>
      <c r="P43" s="45"/>
      <c r="Q43" s="45"/>
    </row>
    <row r="44" spans="1:17" ht="41.15" customHeight="1" x14ac:dyDescent="0.3">
      <c r="B44" s="9" t="s">
        <v>35</v>
      </c>
      <c r="C44" s="21"/>
      <c r="D44" s="9" t="s">
        <v>36</v>
      </c>
      <c r="E44" s="25"/>
      <c r="F44" s="5"/>
      <c r="G44" s="44" t="s">
        <v>37</v>
      </c>
      <c r="H44" s="44"/>
      <c r="I44" s="38"/>
      <c r="J44" s="38"/>
      <c r="K44" s="38"/>
      <c r="M44" s="45"/>
      <c r="N44" s="45"/>
      <c r="O44" s="45"/>
      <c r="P44" s="45"/>
      <c r="Q44" s="45"/>
    </row>
    <row r="45" spans="1:17" ht="15" customHeight="1" x14ac:dyDescent="0.3">
      <c r="B45" s="5"/>
      <c r="H45" s="5"/>
      <c r="I45" s="5"/>
      <c r="J45" s="5"/>
      <c r="K45" s="5"/>
      <c r="M45" s="45"/>
      <c r="N45" s="45"/>
      <c r="O45" s="45"/>
      <c r="P45" s="45"/>
      <c r="Q45" s="45"/>
    </row>
    <row r="46" spans="1:17" ht="41.15" customHeight="1" x14ac:dyDescent="0.3">
      <c r="B46" s="9" t="s">
        <v>38</v>
      </c>
      <c r="C46" s="38"/>
      <c r="D46" s="38"/>
      <c r="E46" s="38"/>
      <c r="F46" s="5"/>
      <c r="G46" s="44" t="s">
        <v>39</v>
      </c>
      <c r="H46" s="44"/>
      <c r="I46" s="38"/>
      <c r="J46" s="38"/>
      <c r="K46" s="38"/>
      <c r="M46" s="45"/>
      <c r="N46" s="45"/>
      <c r="O46" s="45"/>
      <c r="P46" s="45"/>
      <c r="Q46" s="45"/>
    </row>
    <row r="47" spans="1:17" ht="15" customHeight="1" x14ac:dyDescent="0.3">
      <c r="H47" s="5"/>
      <c r="M47" s="45"/>
      <c r="N47" s="45"/>
      <c r="O47" s="45"/>
      <c r="P47" s="45"/>
      <c r="Q47" s="45"/>
    </row>
    <row r="48" spans="1:17" ht="41.15" customHeight="1" x14ac:dyDescent="0.3">
      <c r="B48" s="9" t="s">
        <v>40</v>
      </c>
      <c r="C48" s="38"/>
      <c r="D48" s="38"/>
      <c r="E48" s="38"/>
      <c r="F48" s="5"/>
      <c r="H48" s="5"/>
      <c r="M48" s="45"/>
      <c r="N48" s="45"/>
      <c r="O48" s="45"/>
      <c r="P48" s="45"/>
      <c r="Q48" s="45"/>
    </row>
    <row r="49" spans="2:17" ht="15" customHeight="1" x14ac:dyDescent="0.3">
      <c r="M49" s="45"/>
      <c r="N49" s="45"/>
      <c r="O49" s="45"/>
      <c r="P49" s="45"/>
      <c r="Q49" s="45"/>
    </row>
    <row r="50" spans="2:17" ht="42" customHeight="1" x14ac:dyDescent="0.3">
      <c r="B50" s="44" t="s">
        <v>29</v>
      </c>
      <c r="C50" s="44"/>
      <c r="D50" s="57"/>
      <c r="E50" s="57"/>
      <c r="F50" s="57"/>
      <c r="G50" s="57"/>
      <c r="H50" s="57"/>
      <c r="I50" s="57"/>
      <c r="J50" s="57"/>
      <c r="K50" s="57"/>
      <c r="M50" s="45"/>
      <c r="N50" s="45"/>
      <c r="O50" s="45"/>
      <c r="P50" s="45"/>
      <c r="Q50" s="45"/>
    </row>
    <row r="51" spans="2:17" ht="43.5" customHeight="1" x14ac:dyDescent="0.3">
      <c r="B51" s="44"/>
      <c r="C51" s="44"/>
      <c r="D51" s="57"/>
      <c r="E51" s="57"/>
      <c r="F51" s="57"/>
      <c r="G51" s="57"/>
      <c r="H51" s="57"/>
      <c r="I51" s="57"/>
      <c r="J51" s="57"/>
      <c r="K51" s="57"/>
      <c r="M51" s="45"/>
      <c r="N51" s="45"/>
      <c r="O51" s="45"/>
      <c r="P51" s="45"/>
      <c r="Q51" s="45"/>
    </row>
    <row r="52" spans="2:17" ht="66" customHeight="1" x14ac:dyDescent="0.3">
      <c r="B52" s="44"/>
      <c r="C52" s="44"/>
      <c r="D52" s="57"/>
      <c r="E52" s="57"/>
      <c r="F52" s="57"/>
      <c r="G52" s="57"/>
      <c r="H52" s="57"/>
      <c r="I52" s="57"/>
      <c r="J52" s="57"/>
      <c r="K52" s="57"/>
      <c r="M52" s="45"/>
      <c r="N52" s="45"/>
      <c r="O52" s="45"/>
      <c r="P52" s="45"/>
      <c r="Q52" s="45"/>
    </row>
    <row r="53" spans="2:17" ht="27.75" customHeight="1" x14ac:dyDescent="0.3"/>
    <row r="54" spans="2:17" ht="18.5" x14ac:dyDescent="0.3">
      <c r="B54" s="58" t="s">
        <v>41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spans="2:17" ht="7.5" customHeight="1" x14ac:dyDescent="0.3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2:17" ht="44.25" customHeight="1" x14ac:dyDescent="0.3">
      <c r="B56" s="44" t="s">
        <v>42</v>
      </c>
      <c r="C56" s="44"/>
      <c r="D56" s="65"/>
      <c r="E56" s="65"/>
      <c r="F56" s="5"/>
      <c r="G56" s="44" t="s">
        <v>43</v>
      </c>
      <c r="H56" s="44"/>
      <c r="I56" s="65"/>
      <c r="J56" s="65"/>
      <c r="K56" s="65"/>
      <c r="L56" s="5"/>
      <c r="M56" s="5"/>
      <c r="N56" s="60" t="s">
        <v>44</v>
      </c>
      <c r="O56" s="60"/>
      <c r="P56" s="60"/>
      <c r="Q56" s="60"/>
    </row>
    <row r="57" spans="2:17" ht="7.5" customHeight="1" x14ac:dyDescent="0.3">
      <c r="B57" s="5"/>
      <c r="C57" s="5"/>
      <c r="D57" s="5"/>
      <c r="F57" s="5"/>
      <c r="G57" s="5"/>
      <c r="H57" s="5"/>
      <c r="I57" s="5"/>
      <c r="J57" s="5"/>
      <c r="K57" s="5"/>
      <c r="L57" s="5"/>
      <c r="M57" s="5"/>
      <c r="N57" s="60"/>
      <c r="O57" s="60"/>
      <c r="P57" s="60"/>
      <c r="Q57" s="60"/>
    </row>
    <row r="58" spans="2:17" ht="44.25" customHeight="1" x14ac:dyDescent="0.3">
      <c r="B58" s="44" t="s">
        <v>45</v>
      </c>
      <c r="C58" s="44"/>
      <c r="D58" s="86"/>
      <c r="E58" s="86"/>
      <c r="G58" s="44" t="s">
        <v>46</v>
      </c>
      <c r="H58" s="44"/>
      <c r="I58" s="65"/>
      <c r="J58" s="65"/>
      <c r="K58" s="65"/>
      <c r="L58" s="5"/>
      <c r="M58" s="5"/>
      <c r="N58" s="60"/>
      <c r="O58" s="60"/>
      <c r="P58" s="60"/>
      <c r="Q58" s="60"/>
    </row>
    <row r="59" spans="2:17" ht="7.5" customHeight="1" x14ac:dyDescent="0.3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0"/>
      <c r="O59" s="60"/>
      <c r="P59" s="60"/>
      <c r="Q59" s="60"/>
    </row>
    <row r="60" spans="2:17" ht="44.25" customHeight="1" x14ac:dyDescent="0.3">
      <c r="B60" s="44" t="s">
        <v>47</v>
      </c>
      <c r="C60" s="44"/>
      <c r="D60" s="65"/>
      <c r="E60" s="65"/>
      <c r="F60" s="5"/>
      <c r="G60" s="44" t="s">
        <v>48</v>
      </c>
      <c r="H60" s="44"/>
      <c r="I60" s="65"/>
      <c r="J60" s="65"/>
      <c r="K60" s="65"/>
      <c r="L60" s="5"/>
      <c r="M60" s="5"/>
      <c r="N60" s="60"/>
      <c r="O60" s="60"/>
      <c r="P60" s="60"/>
      <c r="Q60" s="60"/>
    </row>
    <row r="61" spans="2:17" ht="7.5" customHeight="1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60"/>
      <c r="O61" s="60"/>
      <c r="P61" s="60"/>
      <c r="Q61" s="60"/>
    </row>
    <row r="62" spans="2:17" ht="44.25" customHeight="1" x14ac:dyDescent="0.3">
      <c r="B62" s="44" t="s">
        <v>49</v>
      </c>
      <c r="C62" s="44"/>
      <c r="D62" s="85" t="str">
        <f>IFERROR(VLOOKUP(D60&amp;I60,'DATOS Y RESPONSABLES ESCALAMIEN'!$D$15:$E$38,2,FALSE),"")</f>
        <v/>
      </c>
      <c r="E62" s="85"/>
      <c r="F62" s="85"/>
      <c r="G62" s="85"/>
      <c r="H62" s="85"/>
      <c r="I62" s="85"/>
      <c r="J62" s="85"/>
      <c r="K62" s="85"/>
      <c r="L62" s="5"/>
      <c r="M62" s="5"/>
      <c r="N62" s="60"/>
      <c r="O62" s="60"/>
      <c r="P62" s="60"/>
      <c r="Q62" s="60"/>
    </row>
    <row r="63" spans="2:17" ht="7.5" customHeight="1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60"/>
      <c r="O63" s="60"/>
      <c r="P63" s="60"/>
      <c r="Q63" s="60"/>
    </row>
    <row r="64" spans="2:17" ht="44.25" customHeight="1" x14ac:dyDescent="0.3">
      <c r="B64" s="44" t="s">
        <v>50</v>
      </c>
      <c r="C64" s="44"/>
      <c r="D64" s="87"/>
      <c r="E64" s="87"/>
      <c r="F64" s="5"/>
      <c r="G64" s="44" t="s">
        <v>51</v>
      </c>
      <c r="H64" s="44"/>
      <c r="I64" s="86"/>
      <c r="J64" s="86"/>
      <c r="K64" s="86"/>
      <c r="L64" s="5"/>
      <c r="M64" s="5"/>
      <c r="N64" s="60"/>
      <c r="O64" s="60"/>
      <c r="P64" s="60"/>
      <c r="Q64" s="60"/>
    </row>
    <row r="65" spans="2:17" ht="7.5" customHeight="1" x14ac:dyDescent="0.3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0"/>
      <c r="O65" s="60"/>
      <c r="P65" s="60"/>
      <c r="Q65" s="60"/>
    </row>
    <row r="66" spans="2:17" ht="44.25" customHeight="1" x14ac:dyDescent="0.3">
      <c r="B66" s="44" t="s">
        <v>52</v>
      </c>
      <c r="C66" s="44"/>
      <c r="D66" s="65"/>
      <c r="E66" s="65"/>
      <c r="F66" s="5"/>
      <c r="G66" s="44" t="s">
        <v>53</v>
      </c>
      <c r="H66" s="44"/>
      <c r="I66" s="64"/>
      <c r="J66" s="64"/>
      <c r="K66" s="64"/>
      <c r="L66" s="5"/>
      <c r="M66" s="5"/>
      <c r="N66" s="60"/>
      <c r="O66" s="60"/>
      <c r="P66" s="60"/>
      <c r="Q66" s="60"/>
    </row>
    <row r="67" spans="2:17" ht="7.5" customHeight="1" x14ac:dyDescent="0.3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60"/>
      <c r="O67" s="60"/>
      <c r="P67" s="60"/>
      <c r="Q67" s="60"/>
    </row>
    <row r="68" spans="2:17" ht="44.25" customHeight="1" x14ac:dyDescent="0.3">
      <c r="B68" s="44" t="s">
        <v>54</v>
      </c>
      <c r="C68" s="44"/>
      <c r="D68" s="64"/>
      <c r="E68" s="64"/>
      <c r="F68" s="5"/>
      <c r="G68" s="44" t="s">
        <v>55</v>
      </c>
      <c r="H68" s="44"/>
      <c r="I68" s="64"/>
      <c r="J68" s="64"/>
      <c r="K68" s="64"/>
      <c r="L68" s="5"/>
      <c r="M68" s="5"/>
      <c r="N68" s="60"/>
      <c r="O68" s="60"/>
      <c r="P68" s="60"/>
      <c r="Q68" s="60"/>
    </row>
    <row r="69" spans="2:17" ht="7.5" customHeight="1" x14ac:dyDescent="0.3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60"/>
      <c r="O69" s="60"/>
      <c r="P69" s="60"/>
      <c r="Q69" s="60"/>
    </row>
    <row r="70" spans="2:17" ht="44.25" customHeight="1" x14ac:dyDescent="0.3">
      <c r="B70" s="44" t="s">
        <v>56</v>
      </c>
      <c r="C70" s="44"/>
      <c r="D70" s="65"/>
      <c r="E70" s="65"/>
      <c r="F70" s="5"/>
      <c r="G70" s="5"/>
      <c r="H70" s="5"/>
      <c r="I70" s="5"/>
      <c r="J70" s="5"/>
      <c r="K70" s="5"/>
      <c r="L70" s="5"/>
      <c r="M70" s="5"/>
      <c r="N70" s="60"/>
      <c r="O70" s="60"/>
      <c r="P70" s="60"/>
      <c r="Q70" s="60"/>
    </row>
    <row r="71" spans="2:17" ht="7.5" customHeight="1" x14ac:dyDescent="0.3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60"/>
      <c r="O71" s="60"/>
      <c r="P71" s="60"/>
      <c r="Q71" s="60"/>
    </row>
    <row r="72" spans="2:17" ht="39" customHeight="1" x14ac:dyDescent="0.3">
      <c r="B72" s="44" t="s">
        <v>57</v>
      </c>
      <c r="C72" s="44"/>
      <c r="D72" s="57"/>
      <c r="E72" s="57"/>
      <c r="F72" s="57"/>
      <c r="G72" s="57"/>
      <c r="H72" s="57"/>
      <c r="I72" s="57"/>
      <c r="J72" s="57"/>
      <c r="K72" s="57"/>
      <c r="L72" s="5"/>
      <c r="M72" s="5"/>
      <c r="N72" s="60"/>
      <c r="O72" s="60"/>
      <c r="P72" s="60"/>
      <c r="Q72" s="60"/>
    </row>
    <row r="73" spans="2:17" ht="25.5" customHeight="1" x14ac:dyDescent="0.3">
      <c r="B73" s="5"/>
      <c r="C73" s="5"/>
      <c r="H73" s="5"/>
      <c r="I73" s="5"/>
      <c r="J73" s="5"/>
      <c r="K73" s="5"/>
      <c r="L73" s="5"/>
      <c r="M73" s="5"/>
      <c r="N73" s="26"/>
      <c r="O73" s="26"/>
      <c r="P73" s="26"/>
    </row>
    <row r="74" spans="2:17" ht="15" customHeight="1" x14ac:dyDescent="0.3">
      <c r="B74" s="5"/>
      <c r="C74" s="5"/>
      <c r="H74" s="5"/>
      <c r="I74" s="5"/>
      <c r="J74" s="5"/>
      <c r="K74" s="5"/>
      <c r="L74" s="5"/>
      <c r="M74" s="5"/>
      <c r="N74" s="5"/>
      <c r="O74" s="5"/>
    </row>
    <row r="75" spans="2:17" ht="55.5" customHeight="1" x14ac:dyDescent="0.3">
      <c r="B75" s="5"/>
      <c r="C75" s="5"/>
      <c r="H75" s="5"/>
      <c r="I75" s="5"/>
      <c r="J75" s="5"/>
      <c r="K75" s="5"/>
      <c r="L75" s="5"/>
      <c r="M75" s="5"/>
      <c r="N75" s="5"/>
      <c r="O75" s="5"/>
    </row>
    <row r="76" spans="2:17" ht="15" customHeight="1" x14ac:dyDescent="0.3"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2:17" ht="15" customHeight="1" x14ac:dyDescent="0.3"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2:17" ht="15" customHeight="1" x14ac:dyDescent="0.3"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2:17" ht="15" customHeight="1" x14ac:dyDescent="0.3"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2:17" ht="15" customHeight="1" x14ac:dyDescent="0.3"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5:15" ht="18.649999999999999" customHeight="1" x14ac:dyDescent="0.3"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5:15" ht="15" customHeight="1" x14ac:dyDescent="0.3"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5:15" ht="15" customHeight="1" x14ac:dyDescent="0.3"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5:15" ht="15" customHeight="1" x14ac:dyDescent="0.3"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5:15" ht="15" customHeight="1" x14ac:dyDescent="0.3"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5:15" ht="15" customHeight="1" x14ac:dyDescent="0.3"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5:15" ht="15" customHeight="1" x14ac:dyDescent="0.3"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5:15" ht="15" customHeight="1" x14ac:dyDescent="0.3"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5:15" ht="18.649999999999999" customHeight="1" x14ac:dyDescent="0.3"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5:15" ht="15" customHeight="1" x14ac:dyDescent="0.3"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5:15" ht="15" customHeight="1" x14ac:dyDescent="0.3"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5:15" ht="15" customHeight="1" x14ac:dyDescent="0.3"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5:15" ht="15" customHeight="1" x14ac:dyDescent="0.3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</sheetData>
  <mergeCells count="96">
    <mergeCell ref="D64:E64"/>
    <mergeCell ref="D66:E66"/>
    <mergeCell ref="I66:K66"/>
    <mergeCell ref="I68:K68"/>
    <mergeCell ref="G40:H40"/>
    <mergeCell ref="G42:H42"/>
    <mergeCell ref="G44:H44"/>
    <mergeCell ref="G46:H46"/>
    <mergeCell ref="I46:K46"/>
    <mergeCell ref="G68:H68"/>
    <mergeCell ref="G66:H66"/>
    <mergeCell ref="I64:K64"/>
    <mergeCell ref="B56:C56"/>
    <mergeCell ref="D62:K62"/>
    <mergeCell ref="G56:H56"/>
    <mergeCell ref="G58:H58"/>
    <mergeCell ref="G60:H60"/>
    <mergeCell ref="D56:E56"/>
    <mergeCell ref="D58:E58"/>
    <mergeCell ref="D60:E60"/>
    <mergeCell ref="I56:K56"/>
    <mergeCell ref="I58:K58"/>
    <mergeCell ref="I60:K60"/>
    <mergeCell ref="B70:C70"/>
    <mergeCell ref="B58:C58"/>
    <mergeCell ref="B60:C60"/>
    <mergeCell ref="B62:C62"/>
    <mergeCell ref="B64:C64"/>
    <mergeCell ref="B66:C66"/>
    <mergeCell ref="B68:C68"/>
    <mergeCell ref="C10:I10"/>
    <mergeCell ref="C12:E12"/>
    <mergeCell ref="G12:H12"/>
    <mergeCell ref="B6:Q6"/>
    <mergeCell ref="L8:Q8"/>
    <mergeCell ref="L12:Q12"/>
    <mergeCell ref="L10:Q10"/>
    <mergeCell ref="I12:K12"/>
    <mergeCell ref="B2:C4"/>
    <mergeCell ref="C8:I8"/>
    <mergeCell ref="D2:Q2"/>
    <mergeCell ref="D3:Q3"/>
    <mergeCell ref="D4:Q4"/>
    <mergeCell ref="B50:C52"/>
    <mergeCell ref="D50:K52"/>
    <mergeCell ref="B32:E32"/>
    <mergeCell ref="F32:I32"/>
    <mergeCell ref="B33:E33"/>
    <mergeCell ref="F33:I33"/>
    <mergeCell ref="B34:E34"/>
    <mergeCell ref="F34:I34"/>
    <mergeCell ref="I44:K44"/>
    <mergeCell ref="D72:K72"/>
    <mergeCell ref="M40:Q52"/>
    <mergeCell ref="B54:Q54"/>
    <mergeCell ref="B38:Q38"/>
    <mergeCell ref="D36:Q36"/>
    <mergeCell ref="N56:Q72"/>
    <mergeCell ref="C40:E40"/>
    <mergeCell ref="C42:E42"/>
    <mergeCell ref="C46:E46"/>
    <mergeCell ref="D68:E68"/>
    <mergeCell ref="D70:E70"/>
    <mergeCell ref="B72:C72"/>
    <mergeCell ref="G64:H64"/>
    <mergeCell ref="B36:C36"/>
    <mergeCell ref="I40:K40"/>
    <mergeCell ref="I42:K42"/>
    <mergeCell ref="C26:D26"/>
    <mergeCell ref="F26:I26"/>
    <mergeCell ref="C27:D27"/>
    <mergeCell ref="F27:I27"/>
    <mergeCell ref="K19:Q19"/>
    <mergeCell ref="C25:D25"/>
    <mergeCell ref="F25:I25"/>
    <mergeCell ref="F21:I22"/>
    <mergeCell ref="C23:D23"/>
    <mergeCell ref="F23:I23"/>
    <mergeCell ref="C24:D24"/>
    <mergeCell ref="F24:I24"/>
    <mergeCell ref="C14:E14"/>
    <mergeCell ref="G14:H14"/>
    <mergeCell ref="I14:L14"/>
    <mergeCell ref="C48:E48"/>
    <mergeCell ref="B29:I29"/>
    <mergeCell ref="B31:E31"/>
    <mergeCell ref="F31:I31"/>
    <mergeCell ref="C16:E16"/>
    <mergeCell ref="G16:H16"/>
    <mergeCell ref="I16:L16"/>
    <mergeCell ref="B19:I19"/>
    <mergeCell ref="B21:B22"/>
    <mergeCell ref="E21:E22"/>
    <mergeCell ref="C21:D22"/>
    <mergeCell ref="K23:Q34"/>
    <mergeCell ref="L21:Q21"/>
  </mergeCells>
  <dataValidations count="12">
    <dataValidation type="list" allowBlank="1" showInputMessage="1" showErrorMessage="1" sqref="N14 N16 P14" xr:uid="{16316467-9E5C-4420-B273-0C9B8968D0C4}">
      <formula1>"X"</formula1>
    </dataValidation>
    <dataValidation type="list" allowBlank="1" showInputMessage="1" showErrorMessage="1" sqref="C16:E16" xr:uid="{E276A0AE-0D89-4C1D-BA88-1B12017EFCCE}">
      <formula1>"Adición,Creación,Modificación,Inactivación"</formula1>
    </dataValidation>
    <dataValidation type="list" allowBlank="1" showInputMessage="1" showErrorMessage="1" sqref="F32:I34" xr:uid="{2750FE51-FB87-4536-AC07-E43B01AB7B90}">
      <formula1>"Lectura,Lectura y escritura"</formula1>
    </dataValidation>
    <dataValidation type="list" allowBlank="1" showInputMessage="1" showErrorMessage="1" sqref="L22:O22 L21:Q21" xr:uid="{5AAD90F4-D8F2-44EA-8734-E61AAAE08B50}">
      <formula1>"CEN,Conexión puntos remotos,Home office,Proveedores,Teletrabajo,"</formula1>
    </dataValidation>
    <dataValidation type="list" allowBlank="1" showInputMessage="1" showErrorMessage="1" sqref="C44" xr:uid="{A5790EC2-C776-417B-99BA-D2EC58C68DC2}">
      <formula1>"CC,CE,NIT"</formula1>
    </dataValidation>
    <dataValidation type="list" allowBlank="1" showInputMessage="1" showErrorMessage="1" sqref="D56" xr:uid="{35F8641F-8D5A-4A28-919B-9D668A929484}">
      <formula1>"Creacion,Modificacion,Desactivacion"</formula1>
    </dataValidation>
    <dataValidation type="list" allowBlank="1" showInputMessage="1" showErrorMessage="1" sqref="D66" xr:uid="{6A51DDD4-8941-4CD8-B79C-3D2E568101E3}">
      <formula1>"Consulta,Edicion,Administracion,Desarrollador/Colaborador"</formula1>
    </dataValidation>
    <dataValidation type="list" allowBlank="1" showInputMessage="1" showErrorMessage="1" sqref="I66" xr:uid="{B91BAC92-DC16-424E-96C3-06B7DD3E871E}">
      <formula1>"Permanente,Temporal"</formula1>
    </dataValidation>
    <dataValidation type="list" allowBlank="1" showInputMessage="1" showErrorMessage="1" sqref="D70" xr:uid="{EDB10B05-733C-46FB-A63E-33BDE5DACE45}">
      <formula1>"Compañia,Tercero"</formula1>
    </dataValidation>
    <dataValidation type="list" allowBlank="1" showInputMessage="1" showErrorMessage="1" sqref="I60:K60" xr:uid="{E55A746F-14A1-45AF-96EA-E01003B4F67B}">
      <formula1>INDIRECT($D$60)</formula1>
    </dataValidation>
    <dataValidation type="list" allowBlank="1" showInputMessage="1" showErrorMessage="1" sqref="L12:Q12" xr:uid="{38EBEF2E-693A-4ED1-AEC6-9B2F9AD4F192}">
      <formula1>"Directo,Practicante,Temporal"</formula1>
    </dataValidation>
    <dataValidation type="list" allowBlank="1" showInputMessage="1" showErrorMessage="1" sqref="C40:E40" xr:uid="{09F2C5B1-C224-4882-9E07-A8BEB622CB1A}">
      <formula1>"Creación,Modificación,Inactivación"</formula1>
    </dataValidation>
  </dataValidations>
  <hyperlinks>
    <hyperlink ref="B32" r:id="rId1" xr:uid="{3EA09A6B-BBB0-4DC9-B2BD-59C8C7AA43AD}"/>
  </hyperlinks>
  <pageMargins left="0.7" right="0.7" top="0.75" bottom="0.75" header="0.3" footer="0.3"/>
  <pageSetup paperSize="9" scale="29" orientation="portrait" r:id="rId2"/>
  <headerFooter>
    <oddFooter>&amp;R_x000D_&amp;1#&amp;"ubuntu"&amp;10&amp;K003045 Información PRIVADA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F280A9-8C6E-453A-BB76-3C2D9108D532}">
          <x14:formula1>
            <xm:f>'DATOS Y RESPONSABLES ESCALAMIEN'!$B$40:$B$48</xm:f>
          </x14:formula1>
          <xm:sqref>D60:E60</xm:sqref>
        </x14:dataValidation>
        <x14:dataValidation type="list" allowBlank="1" showInputMessage="1" showErrorMessage="1" xr:uid="{54B5C1FB-B922-4E50-98EA-29BF5E8ED281}">
          <x14:formula1>
            <xm:f>'DATOS Y RESPONSABLES ESCALAMIEN'!$B$2:$B$14</xm:f>
          </x14:formula1>
          <xm:sqref>B23:B27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50F9-15D8-484B-8B55-67031BC452E0}">
  <sheetPr codeName="Hoja3"/>
  <dimension ref="B1:J58"/>
  <sheetViews>
    <sheetView workbookViewId="0">
      <selection activeCell="E18" sqref="E18"/>
    </sheetView>
  </sheetViews>
  <sheetFormatPr baseColWidth="10" defaultColWidth="11.453125" defaultRowHeight="14.5" x14ac:dyDescent="0.35"/>
  <cols>
    <col min="1" max="1" width="2.1796875" customWidth="1"/>
    <col min="2" max="2" width="27.81640625" customWidth="1"/>
    <col min="3" max="3" width="63.54296875" bestFit="1" customWidth="1"/>
    <col min="4" max="4" width="42" customWidth="1"/>
    <col min="5" max="5" width="44.1796875" bestFit="1" customWidth="1"/>
    <col min="6" max="6" width="18.81640625" bestFit="1" customWidth="1"/>
    <col min="7" max="7" width="16.81640625" bestFit="1" customWidth="1"/>
    <col min="9" max="9" width="20.54296875" bestFit="1" customWidth="1"/>
    <col min="10" max="10" width="16.81640625" bestFit="1" customWidth="1"/>
    <col min="12" max="12" width="19.81640625" bestFit="1" customWidth="1"/>
    <col min="13" max="13" width="16.81640625" bestFit="1" customWidth="1"/>
    <col min="15" max="15" width="19.81640625" bestFit="1" customWidth="1"/>
    <col min="16" max="16" width="16.81640625" bestFit="1" customWidth="1"/>
  </cols>
  <sheetData>
    <row r="1" spans="2:8" ht="15" thickBot="1" x14ac:dyDescent="0.4">
      <c r="B1" s="17" t="s">
        <v>58</v>
      </c>
      <c r="C1" s="18" t="s">
        <v>59</v>
      </c>
    </row>
    <row r="2" spans="2:8" ht="15" thickBot="1" x14ac:dyDescent="0.4">
      <c r="B2" s="3" t="s">
        <v>60</v>
      </c>
      <c r="C2" s="4" t="s">
        <v>61</v>
      </c>
      <c r="E2" s="3" t="s">
        <v>62</v>
      </c>
    </row>
    <row r="3" spans="2:8" ht="15" thickBot="1" x14ac:dyDescent="0.4">
      <c r="B3" s="3" t="s">
        <v>63</v>
      </c>
      <c r="C3" s="4" t="s">
        <v>64</v>
      </c>
      <c r="E3" t="s">
        <v>65</v>
      </c>
    </row>
    <row r="4" spans="2:8" ht="15" thickBot="1" x14ac:dyDescent="0.4">
      <c r="B4" s="3" t="s">
        <v>66</v>
      </c>
      <c r="C4" s="4" t="s">
        <v>67</v>
      </c>
      <c r="E4" t="s">
        <v>68</v>
      </c>
    </row>
    <row r="5" spans="2:8" ht="15" thickBot="1" x14ac:dyDescent="0.4">
      <c r="B5" s="3" t="s">
        <v>69</v>
      </c>
      <c r="C5" s="4" t="s">
        <v>64</v>
      </c>
    </row>
    <row r="6" spans="2:8" ht="15" thickBot="1" x14ac:dyDescent="0.4">
      <c r="B6" s="3" t="s">
        <v>70</v>
      </c>
      <c r="C6" s="4" t="s">
        <v>71</v>
      </c>
    </row>
    <row r="7" spans="2:8" ht="15" thickBot="1" x14ac:dyDescent="0.4">
      <c r="B7" s="3" t="s">
        <v>72</v>
      </c>
      <c r="C7" s="4" t="s">
        <v>62</v>
      </c>
    </row>
    <row r="8" spans="2:8" ht="15" thickBot="1" x14ac:dyDescent="0.4">
      <c r="B8" s="3" t="s">
        <v>73</v>
      </c>
      <c r="C8" s="4" t="s">
        <v>64</v>
      </c>
    </row>
    <row r="9" spans="2:8" ht="15" thickBot="1" x14ac:dyDescent="0.4">
      <c r="B9" s="1" t="s">
        <v>74</v>
      </c>
      <c r="C9" s="2" t="s">
        <v>75</v>
      </c>
    </row>
    <row r="10" spans="2:8" ht="15" thickBot="1" x14ac:dyDescent="0.4">
      <c r="B10" s="16" t="s">
        <v>76</v>
      </c>
      <c r="C10" s="4" t="s">
        <v>77</v>
      </c>
    </row>
    <row r="11" spans="2:8" ht="15" thickBot="1" x14ac:dyDescent="0.4">
      <c r="B11" s="3" t="s">
        <v>78</v>
      </c>
      <c r="C11" s="4" t="s">
        <v>79</v>
      </c>
    </row>
    <row r="12" spans="2:8" ht="15" thickBot="1" x14ac:dyDescent="0.4">
      <c r="B12" s="3" t="s">
        <v>80</v>
      </c>
      <c r="C12" s="4" t="s">
        <v>81</v>
      </c>
    </row>
    <row r="13" spans="2:8" ht="15" thickBot="1" x14ac:dyDescent="0.4">
      <c r="B13" s="1" t="s">
        <v>82</v>
      </c>
      <c r="C13" s="2" t="s">
        <v>83</v>
      </c>
    </row>
    <row r="14" spans="2:8" ht="15" thickBot="1" x14ac:dyDescent="0.4"/>
    <row r="15" spans="2:8" ht="15" thickBot="1" x14ac:dyDescent="0.4">
      <c r="B15" s="17" t="s">
        <v>84</v>
      </c>
      <c r="C15" s="17" t="s">
        <v>48</v>
      </c>
      <c r="D15" s="18" t="s">
        <v>85</v>
      </c>
      <c r="E15" s="18" t="s">
        <v>86</v>
      </c>
      <c r="H15" s="14"/>
    </row>
    <row r="16" spans="2:8" x14ac:dyDescent="0.35">
      <c r="B16" s="15" t="s">
        <v>87</v>
      </c>
      <c r="C16" s="15" t="s">
        <v>88</v>
      </c>
      <c r="D16" s="15" t="str">
        <f t="shared" ref="D16:D38" si="0">B16&amp;C16</f>
        <v>AWSConsola</v>
      </c>
      <c r="E16" s="15" t="s">
        <v>89</v>
      </c>
      <c r="H16" s="14"/>
    </row>
    <row r="17" spans="2:10" x14ac:dyDescent="0.35">
      <c r="B17" s="15" t="s">
        <v>87</v>
      </c>
      <c r="C17" s="15" t="s">
        <v>90</v>
      </c>
      <c r="D17" s="15" t="str">
        <f t="shared" si="0"/>
        <v>AWSArriendos WEB/Express</v>
      </c>
      <c r="E17" s="15" t="s">
        <v>91</v>
      </c>
      <c r="H17" s="14"/>
    </row>
    <row r="18" spans="2:10" x14ac:dyDescent="0.35">
      <c r="B18" s="15" t="s">
        <v>87</v>
      </c>
      <c r="C18" s="15" t="s">
        <v>92</v>
      </c>
      <c r="D18" s="15" t="str">
        <f t="shared" si="0"/>
        <v>AWSCircular 040/Carnet Virtual</v>
      </c>
      <c r="E18" s="15" t="s">
        <v>93</v>
      </c>
      <c r="H18" s="14"/>
      <c r="I18" s="14"/>
      <c r="J18" s="14"/>
    </row>
    <row r="19" spans="2:10" x14ac:dyDescent="0.35">
      <c r="B19" s="15" t="s">
        <v>87</v>
      </c>
      <c r="C19" s="15" t="s">
        <v>94</v>
      </c>
      <c r="D19" s="15" t="str">
        <f t="shared" si="0"/>
        <v>AWSConcentrador de pagos</v>
      </c>
      <c r="E19" s="15" t="s">
        <v>95</v>
      </c>
      <c r="H19" s="14"/>
      <c r="I19" s="14"/>
      <c r="J19" s="14"/>
    </row>
    <row r="20" spans="2:10" x14ac:dyDescent="0.35">
      <c r="B20" s="15" t="s">
        <v>87</v>
      </c>
      <c r="C20" s="15" t="s">
        <v>96</v>
      </c>
      <c r="D20" s="15" t="str">
        <f t="shared" si="0"/>
        <v>AWSEcommerce</v>
      </c>
      <c r="E20" s="15" t="s">
        <v>97</v>
      </c>
      <c r="F20" s="14"/>
      <c r="G20" s="14"/>
      <c r="H20" s="14"/>
      <c r="I20" s="14"/>
      <c r="J20" s="14"/>
    </row>
    <row r="21" spans="2:10" x14ac:dyDescent="0.35">
      <c r="B21" s="15" t="s">
        <v>87</v>
      </c>
      <c r="C21" s="15" t="s">
        <v>98</v>
      </c>
      <c r="D21" s="15" t="str">
        <f t="shared" si="0"/>
        <v>AWSRadicador</v>
      </c>
      <c r="E21" s="15" t="s">
        <v>99</v>
      </c>
      <c r="F21" s="14"/>
      <c r="G21" s="14"/>
      <c r="H21" s="14"/>
      <c r="I21" s="14"/>
      <c r="J21" s="14"/>
    </row>
    <row r="22" spans="2:10" x14ac:dyDescent="0.35">
      <c r="B22" s="15" t="s">
        <v>87</v>
      </c>
      <c r="C22" s="15" t="s">
        <v>100</v>
      </c>
      <c r="D22" s="15" t="str">
        <f t="shared" si="0"/>
        <v>AWSSeguro Tercero</v>
      </c>
      <c r="E22" s="15" t="s">
        <v>97</v>
      </c>
      <c r="F22" s="14"/>
      <c r="G22" s="14"/>
      <c r="H22" s="14"/>
      <c r="I22" s="14"/>
      <c r="J22" s="14"/>
    </row>
    <row r="23" spans="2:10" x14ac:dyDescent="0.35">
      <c r="B23" s="15" t="s">
        <v>87</v>
      </c>
      <c r="C23" s="15" t="s">
        <v>101</v>
      </c>
      <c r="D23" s="15" t="str">
        <f t="shared" si="0"/>
        <v>AWSUsuario Mundialista</v>
      </c>
      <c r="E23" s="15" t="s">
        <v>97</v>
      </c>
      <c r="H23" s="14"/>
      <c r="I23" s="14"/>
      <c r="J23" s="14"/>
    </row>
    <row r="24" spans="2:10" x14ac:dyDescent="0.35">
      <c r="B24" s="15" t="s">
        <v>87</v>
      </c>
      <c r="C24" s="15" t="s">
        <v>102</v>
      </c>
      <c r="D24" s="15" t="str">
        <f t="shared" si="0"/>
        <v>AWSESB</v>
      </c>
      <c r="E24" s="15" t="s">
        <v>103</v>
      </c>
      <c r="H24" s="14"/>
      <c r="I24" s="14"/>
      <c r="J24" s="14"/>
    </row>
    <row r="25" spans="2:10" x14ac:dyDescent="0.35">
      <c r="B25" s="15" t="s">
        <v>87</v>
      </c>
      <c r="C25" s="15" t="s">
        <v>104</v>
      </c>
      <c r="D25" s="15" t="str">
        <f t="shared" si="0"/>
        <v>AWSDBA SARLAFT</v>
      </c>
      <c r="E25" s="15" t="s">
        <v>105</v>
      </c>
      <c r="H25" s="14"/>
      <c r="I25" s="14"/>
      <c r="J25" s="14"/>
    </row>
    <row r="26" spans="2:10" x14ac:dyDescent="0.35">
      <c r="B26" s="15" t="s">
        <v>87</v>
      </c>
      <c r="C26" s="15" t="s">
        <v>106</v>
      </c>
      <c r="D26" s="15" t="str">
        <f t="shared" si="0"/>
        <v>AWSBloc Mercadeo</v>
      </c>
      <c r="E26" s="15" t="s">
        <v>107</v>
      </c>
      <c r="H26" s="14"/>
      <c r="I26" s="14"/>
      <c r="J26" s="14"/>
    </row>
    <row r="27" spans="2:10" x14ac:dyDescent="0.35">
      <c r="B27" s="15" t="s">
        <v>108</v>
      </c>
      <c r="C27" s="15" t="s">
        <v>88</v>
      </c>
      <c r="D27" s="15" t="str">
        <f t="shared" si="0"/>
        <v>AZUREConsola</v>
      </c>
      <c r="E27" s="15" t="s">
        <v>89</v>
      </c>
      <c r="H27" s="14"/>
      <c r="I27" s="14"/>
      <c r="J27" s="14"/>
    </row>
    <row r="28" spans="2:10" x14ac:dyDescent="0.35">
      <c r="B28" s="15" t="s">
        <v>108</v>
      </c>
      <c r="C28" s="15" t="s">
        <v>109</v>
      </c>
      <c r="D28" s="15" t="str">
        <f t="shared" si="0"/>
        <v>AZUREAD Connect</v>
      </c>
      <c r="E28" s="15" t="s">
        <v>110</v>
      </c>
    </row>
    <row r="29" spans="2:10" x14ac:dyDescent="0.35">
      <c r="B29" s="15" t="s">
        <v>108</v>
      </c>
      <c r="C29" s="15" t="s">
        <v>111</v>
      </c>
      <c r="D29" s="15" t="str">
        <f t="shared" si="0"/>
        <v>AZURERobot</v>
      </c>
      <c r="E29" s="15" t="s">
        <v>112</v>
      </c>
    </row>
    <row r="30" spans="2:10" x14ac:dyDescent="0.35">
      <c r="B30" s="15" t="s">
        <v>113</v>
      </c>
      <c r="C30" s="15" t="s">
        <v>88</v>
      </c>
      <c r="D30" s="15" t="str">
        <f t="shared" si="0"/>
        <v>GCPConsola</v>
      </c>
      <c r="E30" s="15" t="s">
        <v>89</v>
      </c>
    </row>
    <row r="31" spans="2:10" x14ac:dyDescent="0.35">
      <c r="B31" s="15" t="s">
        <v>113</v>
      </c>
      <c r="C31" s="15" t="s">
        <v>114</v>
      </c>
      <c r="D31" s="15" t="str">
        <f t="shared" si="0"/>
        <v>GCPData Lake</v>
      </c>
      <c r="E31" s="15" t="s">
        <v>112</v>
      </c>
    </row>
    <row r="32" spans="2:10" x14ac:dyDescent="0.35">
      <c r="B32" s="15" t="s">
        <v>113</v>
      </c>
      <c r="C32" s="15" t="s">
        <v>115</v>
      </c>
      <c r="D32" s="15" t="str">
        <f t="shared" si="0"/>
        <v>GCPBase unica de clientes</v>
      </c>
      <c r="E32" s="15" t="s">
        <v>89</v>
      </c>
    </row>
    <row r="33" spans="2:5" x14ac:dyDescent="0.35">
      <c r="B33" s="15" t="s">
        <v>116</v>
      </c>
      <c r="C33" s="15"/>
      <c r="D33" s="15" t="str">
        <f t="shared" si="0"/>
        <v>Mulesoft</v>
      </c>
      <c r="E33" s="15" t="s">
        <v>103</v>
      </c>
    </row>
    <row r="34" spans="2:5" x14ac:dyDescent="0.35">
      <c r="B34" s="15" t="s">
        <v>117</v>
      </c>
      <c r="C34" s="15"/>
      <c r="D34" s="15" t="str">
        <f t="shared" si="0"/>
        <v>AZURE Dev Ops</v>
      </c>
      <c r="E34" s="15" t="s">
        <v>118</v>
      </c>
    </row>
    <row r="35" spans="2:5" x14ac:dyDescent="0.35">
      <c r="B35" s="15" t="s">
        <v>119</v>
      </c>
      <c r="C35" s="15"/>
      <c r="D35" s="15" t="str">
        <f t="shared" si="0"/>
        <v>BitBucket</v>
      </c>
      <c r="E35" s="15" t="s">
        <v>118</v>
      </c>
    </row>
    <row r="36" spans="2:5" x14ac:dyDescent="0.35">
      <c r="B36" s="15" t="s">
        <v>120</v>
      </c>
      <c r="C36" s="15"/>
      <c r="D36" s="15" t="str">
        <f t="shared" si="0"/>
        <v>Data Dog</v>
      </c>
      <c r="E36" s="15" t="s">
        <v>121</v>
      </c>
    </row>
    <row r="37" spans="2:5" x14ac:dyDescent="0.35">
      <c r="B37" s="15" t="s">
        <v>122</v>
      </c>
      <c r="C37" s="15"/>
      <c r="D37" s="15" t="str">
        <f t="shared" si="0"/>
        <v>Postman</v>
      </c>
      <c r="E37" s="15" t="s">
        <v>103</v>
      </c>
    </row>
    <row r="38" spans="2:5" x14ac:dyDescent="0.35">
      <c r="B38" s="15" t="s">
        <v>123</v>
      </c>
      <c r="C38" s="15"/>
      <c r="D38" s="15" t="str">
        <f t="shared" si="0"/>
        <v>Hopex</v>
      </c>
      <c r="E38" s="15" t="s">
        <v>103</v>
      </c>
    </row>
    <row r="40" spans="2:5" x14ac:dyDescent="0.35">
      <c r="B40" s="15" t="s">
        <v>87</v>
      </c>
    </row>
    <row r="41" spans="2:5" x14ac:dyDescent="0.35">
      <c r="B41" s="15" t="s">
        <v>108</v>
      </c>
    </row>
    <row r="42" spans="2:5" x14ac:dyDescent="0.35">
      <c r="B42" s="15" t="s">
        <v>113</v>
      </c>
    </row>
    <row r="43" spans="2:5" x14ac:dyDescent="0.35">
      <c r="B43" s="15" t="s">
        <v>116</v>
      </c>
    </row>
    <row r="44" spans="2:5" x14ac:dyDescent="0.35">
      <c r="B44" s="15" t="s">
        <v>117</v>
      </c>
    </row>
    <row r="45" spans="2:5" x14ac:dyDescent="0.35">
      <c r="B45" s="15" t="s">
        <v>119</v>
      </c>
    </row>
    <row r="46" spans="2:5" x14ac:dyDescent="0.35">
      <c r="B46" s="15" t="s">
        <v>120</v>
      </c>
    </row>
    <row r="47" spans="2:5" x14ac:dyDescent="0.35">
      <c r="B47" s="15" t="s">
        <v>122</v>
      </c>
    </row>
    <row r="48" spans="2:5" x14ac:dyDescent="0.35">
      <c r="B48" s="15" t="s">
        <v>123</v>
      </c>
    </row>
    <row r="49" spans="2:3" ht="15" thickBot="1" x14ac:dyDescent="0.4"/>
    <row r="50" spans="2:3" x14ac:dyDescent="0.35">
      <c r="B50" s="27" t="s">
        <v>58</v>
      </c>
      <c r="C50" s="28" t="s">
        <v>59</v>
      </c>
    </row>
    <row r="51" spans="2:3" x14ac:dyDescent="0.35">
      <c r="B51" s="29" t="s">
        <v>124</v>
      </c>
      <c r="C51" s="29" t="s">
        <v>125</v>
      </c>
    </row>
    <row r="52" spans="2:3" x14ac:dyDescent="0.35">
      <c r="B52" s="29" t="s">
        <v>126</v>
      </c>
      <c r="C52" s="29" t="s">
        <v>127</v>
      </c>
    </row>
    <row r="53" spans="2:3" x14ac:dyDescent="0.35">
      <c r="B53" s="29" t="s">
        <v>128</v>
      </c>
      <c r="C53" s="29" t="s">
        <v>129</v>
      </c>
    </row>
    <row r="54" spans="2:3" x14ac:dyDescent="0.35">
      <c r="B54" s="29" t="s">
        <v>130</v>
      </c>
      <c r="C54" s="29" t="s">
        <v>131</v>
      </c>
    </row>
    <row r="55" spans="2:3" x14ac:dyDescent="0.35">
      <c r="B55" s="29" t="s">
        <v>132</v>
      </c>
      <c r="C55" s="29" t="s">
        <v>133</v>
      </c>
    </row>
    <row r="56" spans="2:3" ht="29" x14ac:dyDescent="0.35">
      <c r="B56" s="29" t="s">
        <v>134</v>
      </c>
      <c r="C56" s="29" t="s">
        <v>135</v>
      </c>
    </row>
    <row r="57" spans="2:3" ht="29" x14ac:dyDescent="0.35">
      <c r="B57" s="29" t="s">
        <v>136</v>
      </c>
      <c r="C57" s="29" t="s">
        <v>137</v>
      </c>
    </row>
    <row r="58" spans="2:3" ht="29" x14ac:dyDescent="0.35">
      <c r="B58" s="29" t="s">
        <v>138</v>
      </c>
      <c r="C58" s="29" t="s">
        <v>139</v>
      </c>
    </row>
  </sheetData>
  <pageMargins left="0.7" right="0.7" top="0.75" bottom="0.75" header="0.3" footer="0.3"/>
  <headerFooter>
    <oddFooter>&amp;R_x000D_&amp;1#&amp;"ubuntu"&amp;10&amp;K003045 Información PRIVADA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9ccb17-2c3e-4d76-a7c5-ee3faec4feb4">
      <Terms xmlns="http://schemas.microsoft.com/office/infopath/2007/PartnerControls"/>
    </lcf76f155ced4ddcb4097134ff3c332f>
    <TaxCatchAll xmlns="d319f350-eed5-46e2-bcf2-af7aed1163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A2C2D812C1454B98A99614800D8930" ma:contentTypeVersion="16" ma:contentTypeDescription="Crear nuevo documento." ma:contentTypeScope="" ma:versionID="6d26395c76b2e8e53f795e1b14dfb091">
  <xsd:schema xmlns:xsd="http://www.w3.org/2001/XMLSchema" xmlns:xs="http://www.w3.org/2001/XMLSchema" xmlns:p="http://schemas.microsoft.com/office/2006/metadata/properties" xmlns:ns2="9b9ccb17-2c3e-4d76-a7c5-ee3faec4feb4" xmlns:ns3="d319f350-eed5-46e2-bcf2-af7aed1163bc" targetNamespace="http://schemas.microsoft.com/office/2006/metadata/properties" ma:root="true" ma:fieldsID="9a2a28f4d32c6919db3dca8d94f65d4c" ns2:_="" ns3:_="">
    <xsd:import namespace="9b9ccb17-2c3e-4d76-a7c5-ee3faec4feb4"/>
    <xsd:import namespace="d319f350-eed5-46e2-bcf2-af7aed116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ccb17-2c3e-4d76-a7c5-ee3faec4f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c73754f-4424-4e95-85a0-053adc94a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9f350-eed5-46e2-bcf2-af7aed1163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846664-a02e-4fcd-870a-b9e7210b870e}" ma:internalName="TaxCatchAll" ma:showField="CatchAllData" ma:web="d319f350-eed5-46e2-bcf2-af7aed116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E8F1D-5813-4FB7-9133-13A211E75C08}">
  <ds:schemaRefs>
    <ds:schemaRef ds:uri="http://schemas.microsoft.com/office/2006/metadata/properties"/>
    <ds:schemaRef ds:uri="http://schemas.microsoft.com/office/infopath/2007/PartnerControls"/>
    <ds:schemaRef ds:uri="9b9ccb17-2c3e-4d76-a7c5-ee3faec4feb4"/>
    <ds:schemaRef ds:uri="d319f350-eed5-46e2-bcf2-af7aed1163bc"/>
  </ds:schemaRefs>
</ds:datastoreItem>
</file>

<file path=customXml/itemProps2.xml><?xml version="1.0" encoding="utf-8"?>
<ds:datastoreItem xmlns:ds="http://schemas.openxmlformats.org/officeDocument/2006/customXml" ds:itemID="{556E5719-AE67-4234-A58A-2C1AF9BBD8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E6E27A-1F3E-457A-BE9D-22C59397D0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9ccb17-2c3e-4d76-a7c5-ee3faec4feb4"/>
    <ds:schemaRef ds:uri="d319f350-eed5-46e2-bcf2-af7aed1163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cd3335-e3fd-4ed1-b3d3-82877e36b15f}" enabled="1" method="Standard" siteId="{7211a2cc-9a31-4443-8753-08d11d2a50d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Instrucciones</vt:lpstr>
      <vt:lpstr>USUARIOS_EN_APLICATIVOS</vt:lpstr>
      <vt:lpstr>DATOS Y RESPONSABLES ESCALAMIEN</vt:lpstr>
      <vt:lpstr>APP</vt:lpstr>
      <vt:lpstr>USUARIOS_EN_APLICATIVOS!Área_de_impresión</vt:lpstr>
      <vt:lpstr>AWS</vt:lpstr>
      <vt:lpstr>AZURE</vt:lpstr>
      <vt:lpstr>GCP</vt:lpstr>
      <vt:lpstr>Microsoft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David Jorge Ortega</dc:creator>
  <cp:keywords/>
  <dc:description/>
  <cp:lastModifiedBy>Angello Norbey Perilla Ampudia</cp:lastModifiedBy>
  <cp:revision/>
  <dcterms:created xsi:type="dcterms:W3CDTF">2024-03-20T19:00:27Z</dcterms:created>
  <dcterms:modified xsi:type="dcterms:W3CDTF">2025-07-14T19:46:24Z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0x01010036A2C2D812C1454B98A99614800D8930</vt:lpwstr>
  </property>
  <property fmtid="{D5CDD505-2E9C-101B-9397-08002B2CF9AE}" pid="3" name="MediaServiceImageTags">
    <vt:lpwstr/>
  </property>
</Properties>
</file>